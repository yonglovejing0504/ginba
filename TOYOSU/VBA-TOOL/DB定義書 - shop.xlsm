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zhangyong\★個人★\VBA-TOOL\"/>
    </mc:Choice>
  </mc:AlternateContent>
  <xr:revisionPtr revIDLastSave="0" documentId="13_ncr:1_{72806E1A-5297-48DD-8600-20AA1A49BCBB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SQL定数情報" sheetId="1" r:id="rId1"/>
    <sheet name="TOOL" sheetId="3" r:id="rId2"/>
    <sheet name="T_ユーザ情報" sheetId="2" r:id="rId3"/>
    <sheet name="T_問題情報" sheetId="4" r:id="rId4"/>
    <sheet name="T_区分ID情報" sheetId="5" r:id="rId5"/>
  </sheets>
  <definedNames>
    <definedName name="_Sort" localSheetId="2" hidden="1">#REF!</definedName>
    <definedName name="_Sort" localSheetId="4" hidden="1">#REF!</definedName>
    <definedName name="_Sort" localSheetId="3" hidden="1">#REF!</definedName>
    <definedName name="_Sort" hidden="1">#REF!</definedName>
    <definedName name="_xlnm.Print_Area" localSheetId="2">T_ユーザ情報!$A$1:$J$35</definedName>
    <definedName name="_xlnm.Print_Area" localSheetId="4">T_区分ID情報!$A$1:$J$37</definedName>
    <definedName name="_xlnm.Print_Area" localSheetId="3">T_問題情報!$A$1:$J$43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0" i="4" l="1"/>
  <c r="A19" i="4"/>
  <c r="A18" i="4"/>
  <c r="A17" i="4"/>
  <c r="A13" i="4"/>
  <c r="A9" i="4" l="1"/>
  <c r="A37" i="5" l="1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16" i="4"/>
  <c r="A15" i="4"/>
  <c r="A14" i="4"/>
  <c r="A12" i="4"/>
  <c r="A11" i="4"/>
  <c r="A10" i="4"/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4" i="1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</calcChain>
</file>

<file path=xl/sharedStrings.xml><?xml version="1.0" encoding="utf-8"?>
<sst xmlns="http://schemas.openxmlformats.org/spreadsheetml/2006/main" count="251" uniqueCount="146">
  <si>
    <t>エンティティ定義書</t>
    <phoneticPr fontId="6"/>
  </si>
  <si>
    <t>テーブル一覧へ</t>
    <rPh sb="4" eb="6">
      <t>イチラン</t>
    </rPh>
    <phoneticPr fontId="6"/>
  </si>
  <si>
    <t>システム名</t>
  </si>
  <si>
    <t>サブシステム名</t>
  </si>
  <si>
    <t>作成者</t>
  </si>
  <si>
    <t>承認者</t>
  </si>
  <si>
    <t>作成日</t>
  </si>
  <si>
    <t>スキーマ</t>
  </si>
  <si>
    <t>No.</t>
  </si>
  <si>
    <t>型</t>
    <phoneticPr fontId="6"/>
  </si>
  <si>
    <t>桁</t>
    <phoneticPr fontId="6"/>
  </si>
  <si>
    <t>小数</t>
    <phoneticPr fontId="6"/>
  </si>
  <si>
    <t>Null可否</t>
    <rPh sb="4" eb="6">
      <t>カヒ</t>
    </rPh>
    <phoneticPr fontId="6"/>
  </si>
  <si>
    <t>主キー</t>
    <phoneticPr fontId="6"/>
  </si>
  <si>
    <t>初期値</t>
    <phoneticPr fontId="6"/>
  </si>
  <si>
    <t>コメント</t>
    <phoneticPr fontId="6"/>
  </si>
  <si>
    <t>住所コード</t>
    <rPh sb="0" eb="2">
      <t>ジュウショ</t>
    </rPh>
    <phoneticPr fontId="6"/>
  </si>
  <si>
    <t>ANKJYUSYOCD</t>
    <phoneticPr fontId="6"/>
  </si>
  <si>
    <t>CHAR</t>
  </si>
  <si>
    <t>N</t>
    <phoneticPr fontId="6"/>
  </si>
  <si>
    <t>●</t>
    <phoneticPr fontId="6"/>
  </si>
  <si>
    <t>テーブル漢字名</t>
    <rPh sb="4" eb="6">
      <t>カンジ</t>
    </rPh>
    <rPh sb="6" eb="7">
      <t>メイ</t>
    </rPh>
    <phoneticPr fontId="6"/>
  </si>
  <si>
    <t>テーブル英字名</t>
    <rPh sb="4" eb="6">
      <t>エイジ</t>
    </rPh>
    <rPh sb="6" eb="7">
      <t>メイ</t>
    </rPh>
    <phoneticPr fontId="6"/>
  </si>
  <si>
    <t>カラム漢字名</t>
    <rPh sb="3" eb="5">
      <t>カンジ</t>
    </rPh>
    <phoneticPr fontId="6"/>
  </si>
  <si>
    <t>カラム英字名</t>
    <rPh sb="3" eb="5">
      <t>エイジ</t>
    </rPh>
    <phoneticPr fontId="6"/>
  </si>
  <si>
    <t>smallint</t>
    <phoneticPr fontId="5"/>
  </si>
  <si>
    <t>存储整数，小范围</t>
    <phoneticPr fontId="5"/>
  </si>
  <si>
    <t>-32768 至 +32767</t>
    <phoneticPr fontId="5"/>
  </si>
  <si>
    <t>データ類型</t>
    <rPh sb="3" eb="5">
      <t>ルイケイ</t>
    </rPh>
    <phoneticPr fontId="6"/>
  </si>
  <si>
    <t>説明</t>
    <rPh sb="0" eb="2">
      <t>セツメイ</t>
    </rPh>
    <phoneticPr fontId="6"/>
  </si>
  <si>
    <t>備考</t>
    <rPh sb="0" eb="2">
      <t>ビコウ</t>
    </rPh>
    <phoneticPr fontId="6"/>
  </si>
  <si>
    <t>NO.</t>
    <phoneticPr fontId="6"/>
  </si>
  <si>
    <t>integer</t>
    <phoneticPr fontId="5"/>
  </si>
  <si>
    <t>存储整数。使用这个类型可存储典型的整数</t>
    <phoneticPr fontId="5"/>
  </si>
  <si>
    <t>-2147483648 至 +2147483647</t>
    <phoneticPr fontId="5"/>
  </si>
  <si>
    <t>bigint</t>
    <phoneticPr fontId="5"/>
  </si>
  <si>
    <t>存储整数，大范围。</t>
    <phoneticPr fontId="5"/>
  </si>
  <si>
    <t>-9223372036854775808 至 9223372036854775807</t>
    <phoneticPr fontId="5"/>
  </si>
  <si>
    <t>decimal</t>
    <phoneticPr fontId="5"/>
  </si>
  <si>
    <t>用户指定的精度，精确</t>
    <phoneticPr fontId="5"/>
  </si>
  <si>
    <t>小数点前最多为131072个数字; 小数点后最多为16383个数字。</t>
    <phoneticPr fontId="5"/>
  </si>
  <si>
    <t>numeric</t>
    <phoneticPr fontId="5"/>
  </si>
  <si>
    <t>double</t>
    <phoneticPr fontId="5"/>
  </si>
  <si>
    <t>可变精度，不精确</t>
    <phoneticPr fontId="5"/>
  </si>
  <si>
    <t>15位数字精度</t>
    <phoneticPr fontId="5"/>
  </si>
  <si>
    <t>char(size)</t>
    <phoneticPr fontId="5"/>
  </si>
  <si>
    <t>这里size是要存储的字符数。固定长度字符串，右边的空格填充到相等大小的字符。</t>
    <phoneticPr fontId="5"/>
  </si>
  <si>
    <t>varchar(size)</t>
    <phoneticPr fontId="5"/>
  </si>
  <si>
    <t>这里size是要存储的字符数。 可变长度字符串。</t>
    <phoneticPr fontId="5"/>
  </si>
  <si>
    <t>text</t>
    <phoneticPr fontId="5"/>
  </si>
  <si>
    <t>可变长度字符串。</t>
    <phoneticPr fontId="5"/>
  </si>
  <si>
    <t>日期和时间(无时区)</t>
    <phoneticPr fontId="5"/>
  </si>
  <si>
    <t>包括日期和时间，带时区</t>
    <phoneticPr fontId="5"/>
  </si>
  <si>
    <t xml:space="preserve">timestamp [ (p) ] </t>
    <phoneticPr fontId="5"/>
  </si>
  <si>
    <t>timestamp [ (p) ]</t>
    <phoneticPr fontId="5"/>
  </si>
  <si>
    <t>date</t>
    <phoneticPr fontId="5"/>
  </si>
  <si>
    <t>日期(没有时间)</t>
    <phoneticPr fontId="5"/>
  </si>
  <si>
    <t>money</t>
    <phoneticPr fontId="5"/>
  </si>
  <si>
    <t>货币金额</t>
    <phoneticPr fontId="5"/>
  </si>
  <si>
    <t>USERINFO</t>
    <phoneticPr fontId="5"/>
  </si>
  <si>
    <t>USERID</t>
    <phoneticPr fontId="5"/>
  </si>
  <si>
    <t>PASSWORD</t>
    <phoneticPr fontId="5"/>
  </si>
  <si>
    <t>USERNM</t>
    <phoneticPr fontId="5"/>
  </si>
  <si>
    <t>PHONENO</t>
    <phoneticPr fontId="5"/>
  </si>
  <si>
    <t>MAIL</t>
    <phoneticPr fontId="5"/>
  </si>
  <si>
    <t>性别</t>
    <phoneticPr fontId="5"/>
  </si>
  <si>
    <t>SEXID</t>
    <phoneticPr fontId="5"/>
  </si>
  <si>
    <t>CREATETIME</t>
    <phoneticPr fontId="5"/>
  </si>
  <si>
    <t>UPDATETIME</t>
    <phoneticPr fontId="5"/>
  </si>
  <si>
    <t>zhangyong</t>
    <phoneticPr fontId="5"/>
  </si>
  <si>
    <t>15098762222</t>
    <phoneticPr fontId="5"/>
  </si>
  <si>
    <t>19999@163.com</t>
    <phoneticPr fontId="5"/>
  </si>
  <si>
    <t>VARCHAR</t>
    <phoneticPr fontId="5"/>
  </si>
  <si>
    <t>CHAR</t>
    <phoneticPr fontId="5"/>
  </si>
  <si>
    <t>Y</t>
    <phoneticPr fontId="6"/>
  </si>
  <si>
    <t>ユーザID</t>
    <phoneticPr fontId="5"/>
  </si>
  <si>
    <t>パスワード</t>
    <phoneticPr fontId="5"/>
  </si>
  <si>
    <t>ユーザ名</t>
    <rPh sb="3" eb="4">
      <t>メイ</t>
    </rPh>
    <phoneticPr fontId="5"/>
  </si>
  <si>
    <t>携帯</t>
    <rPh sb="0" eb="2">
      <t>ケイタイ</t>
    </rPh>
    <phoneticPr fontId="5"/>
  </si>
  <si>
    <t>メール</t>
    <phoneticPr fontId="5"/>
  </si>
  <si>
    <t>性別</t>
    <rPh sb="0" eb="2">
      <t>セイベツ</t>
    </rPh>
    <phoneticPr fontId="5"/>
  </si>
  <si>
    <t>登録時間</t>
    <rPh sb="0" eb="2">
      <t>トウロク</t>
    </rPh>
    <rPh sb="2" eb="4">
      <t>ジカン</t>
    </rPh>
    <phoneticPr fontId="5"/>
  </si>
  <si>
    <t>更新時間</t>
    <rPh sb="0" eb="2">
      <t>コウシン</t>
    </rPh>
    <rPh sb="2" eb="4">
      <t>ジカン</t>
    </rPh>
    <phoneticPr fontId="5"/>
  </si>
  <si>
    <r>
      <rPr>
        <sz val="10"/>
        <color theme="1"/>
        <rFont val="SimSun"/>
        <charset val="134"/>
      </rPr>
      <t>张</t>
    </r>
    <r>
      <rPr>
        <sz val="10"/>
        <color theme="1"/>
        <rFont val="ＭＳ Ｐゴシック"/>
        <family val="3"/>
        <charset val="128"/>
      </rPr>
      <t>勇</t>
    </r>
    <phoneticPr fontId="5"/>
  </si>
  <si>
    <t>ユーザ情報</t>
    <rPh sb="3" eb="5">
      <t>ジョウホウ</t>
    </rPh>
    <phoneticPr fontId="5"/>
  </si>
  <si>
    <t>問題情報</t>
    <rPh sb="0" eb="2">
      <t>モンダイ</t>
    </rPh>
    <rPh sb="2" eb="4">
      <t>ジョウホウ</t>
    </rPh>
    <phoneticPr fontId="5"/>
  </si>
  <si>
    <t>QUESTIONINFO</t>
    <phoneticPr fontId="5"/>
  </si>
  <si>
    <t>QUESTIONNO</t>
    <phoneticPr fontId="5"/>
  </si>
  <si>
    <t>PROBLEMNO</t>
    <phoneticPr fontId="5"/>
  </si>
  <si>
    <t>QUESTIONCONTENT</t>
    <phoneticPr fontId="5"/>
  </si>
  <si>
    <t>ANSWER</t>
    <phoneticPr fontId="5"/>
  </si>
  <si>
    <t>ANALYSIS</t>
    <phoneticPr fontId="5"/>
  </si>
  <si>
    <t>FRACTION</t>
    <phoneticPr fontId="5"/>
  </si>
  <si>
    <r>
      <rPr>
        <sz val="11"/>
        <color theme="1"/>
        <rFont val="Microsoft YaHei"/>
        <family val="2"/>
        <charset val="134"/>
      </rPr>
      <t>0</t>
    </r>
    <r>
      <rPr>
        <sz val="11"/>
        <color theme="1"/>
        <rFont val="Yu Gothic"/>
        <family val="2"/>
        <scheme val="minor"/>
      </rPr>
      <t>1</t>
    </r>
    <phoneticPr fontId="5"/>
  </si>
  <si>
    <t>A</t>
    <phoneticPr fontId="5"/>
  </si>
  <si>
    <t>●</t>
    <phoneticPr fontId="5"/>
  </si>
  <si>
    <t>NUMERIC</t>
    <phoneticPr fontId="5"/>
  </si>
  <si>
    <t>年度</t>
    <rPh sb="0" eb="2">
      <t>ネンド</t>
    </rPh>
    <phoneticPr fontId="5"/>
  </si>
  <si>
    <t>問題番号</t>
    <rPh sb="0" eb="2">
      <t>モンダイ</t>
    </rPh>
    <rPh sb="2" eb="4">
      <t>バンゴウ</t>
    </rPh>
    <phoneticPr fontId="5"/>
  </si>
  <si>
    <t>題番号</t>
    <phoneticPr fontId="5"/>
  </si>
  <si>
    <t>問題内容</t>
    <rPh sb="0" eb="2">
      <t>モンダイ</t>
    </rPh>
    <rPh sb="2" eb="4">
      <t>ナイヨウ</t>
    </rPh>
    <phoneticPr fontId="5"/>
  </si>
  <si>
    <t>回答</t>
    <rPh sb="0" eb="2">
      <t>カイトウ</t>
    </rPh>
    <phoneticPr fontId="5"/>
  </si>
  <si>
    <t>解析</t>
    <rPh sb="0" eb="2">
      <t>カイセキ</t>
    </rPh>
    <phoneticPr fontId="5"/>
  </si>
  <si>
    <t>点数</t>
    <rPh sb="0" eb="2">
      <t>テンスウ</t>
    </rPh>
    <phoneticPr fontId="5"/>
  </si>
  <si>
    <t>区分ID情報</t>
    <rPh sb="0" eb="2">
      <t>クブン</t>
    </rPh>
    <rPh sb="4" eb="6">
      <t>ジョウホウ</t>
    </rPh>
    <phoneticPr fontId="5"/>
  </si>
  <si>
    <t>CODEINFO</t>
    <phoneticPr fontId="5"/>
  </si>
  <si>
    <t>区分值</t>
    <phoneticPr fontId="5"/>
  </si>
  <si>
    <t>CODE</t>
    <phoneticPr fontId="5"/>
  </si>
  <si>
    <t>名称</t>
    <phoneticPr fontId="5"/>
  </si>
  <si>
    <t>NAME</t>
    <phoneticPr fontId="5"/>
  </si>
  <si>
    <t>ID</t>
    <phoneticPr fontId="5"/>
  </si>
  <si>
    <t>值</t>
    <phoneticPr fontId="5"/>
  </si>
  <si>
    <t>DATA</t>
    <phoneticPr fontId="5"/>
  </si>
  <si>
    <t>001</t>
    <phoneticPr fontId="5"/>
  </si>
  <si>
    <t>男</t>
    <phoneticPr fontId="5"/>
  </si>
  <si>
    <t>SQL定数情報</t>
  </si>
  <si>
    <t>N1N5区分</t>
    <rPh sb="4" eb="6">
      <t>クブン</t>
    </rPh>
    <phoneticPr fontId="5"/>
  </si>
  <si>
    <t>NKBN</t>
    <phoneticPr fontId="5"/>
  </si>
  <si>
    <t>N1</t>
    <phoneticPr fontId="5"/>
  </si>
  <si>
    <t>YEARMONTH</t>
    <phoneticPr fontId="5"/>
  </si>
  <si>
    <t>大分類</t>
    <rPh sb="0" eb="1">
      <t>ダイ</t>
    </rPh>
    <rPh sb="1" eb="3">
      <t>ブンルイ</t>
    </rPh>
    <phoneticPr fontId="5"/>
  </si>
  <si>
    <t>BIGKBN</t>
    <phoneticPr fontId="5"/>
  </si>
  <si>
    <t>言語知識(文字・語彙・文法)</t>
    <phoneticPr fontId="5"/>
  </si>
  <si>
    <t>問題1</t>
    <phoneticPr fontId="5"/>
  </si>
  <si>
    <t>問題タイトル</t>
    <rPh sb="0" eb="2">
      <t>モンダイ</t>
    </rPh>
    <phoneticPr fontId="5"/>
  </si>
  <si>
    <t xml:space="preserve">　　　の言葉の読み方として最もよいものを、1・2・3・4から一つ選びなさい。
</t>
    <phoneticPr fontId="5"/>
  </si>
  <si>
    <t>PROBLEMTITLE</t>
    <phoneticPr fontId="5"/>
  </si>
  <si>
    <t>CHOICE1</t>
    <phoneticPr fontId="5"/>
  </si>
  <si>
    <r>
      <t>選択肢</t>
    </r>
    <r>
      <rPr>
        <sz val="10"/>
        <rFont val="メイリオ"/>
        <family val="3"/>
        <charset val="128"/>
      </rPr>
      <t>1</t>
    </r>
    <rPh sb="0" eb="3">
      <t>センタクシ</t>
    </rPh>
    <phoneticPr fontId="5"/>
  </si>
  <si>
    <r>
      <t>選択肢</t>
    </r>
    <r>
      <rPr>
        <sz val="10"/>
        <rFont val="メイリオ"/>
        <family val="3"/>
        <charset val="128"/>
      </rPr>
      <t>2</t>
    </r>
    <r>
      <rPr>
        <sz val="11"/>
        <color theme="1"/>
        <rFont val="Yu Gothic"/>
        <family val="2"/>
        <charset val="128"/>
        <scheme val="minor"/>
      </rPr>
      <t/>
    </r>
    <rPh sb="0" eb="3">
      <t>センタクシ</t>
    </rPh>
    <phoneticPr fontId="5"/>
  </si>
  <si>
    <r>
      <t>選択肢</t>
    </r>
    <r>
      <rPr>
        <sz val="10"/>
        <rFont val="メイリオ"/>
        <family val="3"/>
        <charset val="128"/>
      </rPr>
      <t>3</t>
    </r>
    <r>
      <rPr>
        <sz val="11"/>
        <color theme="1"/>
        <rFont val="Yu Gothic"/>
        <family val="2"/>
        <charset val="128"/>
        <scheme val="minor"/>
      </rPr>
      <t/>
    </r>
    <rPh sb="0" eb="3">
      <t>センタクシ</t>
    </rPh>
    <phoneticPr fontId="5"/>
  </si>
  <si>
    <r>
      <t>選択肢</t>
    </r>
    <r>
      <rPr>
        <sz val="10"/>
        <rFont val="メイリオ"/>
        <family val="3"/>
        <charset val="128"/>
      </rPr>
      <t>4</t>
    </r>
    <r>
      <rPr>
        <sz val="11"/>
        <color theme="1"/>
        <rFont val="Yu Gothic"/>
        <family val="2"/>
        <charset val="128"/>
        <scheme val="minor"/>
      </rPr>
      <t/>
    </r>
    <rPh sb="0" eb="3">
      <t>センタクシ</t>
    </rPh>
    <phoneticPr fontId="5"/>
  </si>
  <si>
    <t>CHOICE2</t>
  </si>
  <si>
    <t>CHOICE3</t>
  </si>
  <si>
    <t>CHOICE4</t>
  </si>
  <si>
    <t>1)</t>
    <phoneticPr fontId="5"/>
  </si>
  <si>
    <t xml:space="preserve">
</t>
    <phoneticPr fontId="5"/>
  </si>
  <si>
    <t>この広大な大地を潤すにはまだまだ不十分だった。</t>
    <phoneticPr fontId="5"/>
  </si>
  <si>
    <t>1.たがやす</t>
    <phoneticPr fontId="5"/>
  </si>
  <si>
    <t>2.ぬらす</t>
    <phoneticPr fontId="5"/>
  </si>
  <si>
    <t>3.うるおす</t>
    <phoneticPr fontId="5"/>
  </si>
  <si>
    <t>4.いやす</t>
    <phoneticPr fontId="5"/>
  </si>
  <si>
    <t>正解</t>
    <rPh sb="0" eb="2">
      <t>セイカイ</t>
    </rPh>
    <phoneticPr fontId="5"/>
  </si>
  <si>
    <t>CORRECT</t>
    <phoneticPr fontId="5"/>
  </si>
  <si>
    <t>DATE</t>
    <phoneticPr fontId="5"/>
  </si>
  <si>
    <t>address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</si>
</sst>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6"/>
      <name val="游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SimSun"/>
      <charset val="134"/>
    </font>
    <font>
      <u/>
      <sz val="10"/>
      <color theme="10"/>
      <name val="ＭＳ Ｐゴシック"/>
      <family val="3"/>
      <charset val="128"/>
    </font>
    <font>
      <sz val="11"/>
      <color theme="1"/>
      <name val="Microsoft YaHei"/>
      <family val="2"/>
      <charset val="134"/>
    </font>
    <font>
      <sz val="11"/>
      <color theme="1"/>
      <name val="Yu Gothic"/>
      <family val="2"/>
      <charset val="134"/>
      <scheme val="minor"/>
    </font>
    <font>
      <sz val="10"/>
      <name val="Microsoft YaHei"/>
      <family val="3"/>
      <charset val="134"/>
    </font>
    <font>
      <sz val="10"/>
      <name val="ＭＳ Ｐゴシック"/>
      <family val="2"/>
      <charset val="128"/>
    </font>
    <font>
      <sz val="10"/>
      <name val="メイリオ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75">
    <xf numFmtId="0" fontId="0" fillId="0" borderId="0" xfId="0"/>
    <xf numFmtId="0" fontId="4" fillId="0" borderId="0" xfId="2" applyFont="1">
      <alignment vertical="center"/>
    </xf>
    <xf numFmtId="0" fontId="4" fillId="0" borderId="0" xfId="2" applyFont="1" applyAlignment="1">
      <alignment horizontal="center" vertical="center"/>
    </xf>
    <xf numFmtId="0" fontId="4" fillId="2" borderId="4" xfId="2" applyFont="1" applyFill="1" applyBorder="1" applyAlignment="1">
      <alignment horizontal="center" vertical="center"/>
    </xf>
    <xf numFmtId="0" fontId="10" fillId="2" borderId="14" xfId="4" applyFont="1" applyFill="1" applyBorder="1" applyAlignment="1">
      <alignment horizontal="center" vertical="center"/>
    </xf>
    <xf numFmtId="0" fontId="4" fillId="2" borderId="14" xfId="2" applyFont="1" applyFill="1" applyBorder="1" applyAlignment="1">
      <alignment horizontal="center" vertical="center" wrapText="1"/>
    </xf>
    <xf numFmtId="0" fontId="11" fillId="2" borderId="14" xfId="2" applyFont="1" applyFill="1" applyBorder="1" applyAlignment="1">
      <alignment horizontal="center" vertical="center" wrapText="1"/>
    </xf>
    <xf numFmtId="0" fontId="4" fillId="2" borderId="14" xfId="2" applyFont="1" applyFill="1" applyBorder="1" applyAlignment="1">
      <alignment horizontal="centerContinuous" vertical="center"/>
    </xf>
    <xf numFmtId="0" fontId="4" fillId="0" borderId="0" xfId="2" applyFont="1" applyAlignment="1">
      <alignment vertical="center"/>
    </xf>
    <xf numFmtId="0" fontId="8" fillId="0" borderId="14" xfId="2" applyFont="1" applyFill="1" applyBorder="1" applyAlignment="1">
      <alignment vertical="center" shrinkToFit="1"/>
    </xf>
    <xf numFmtId="0" fontId="8" fillId="0" borderId="14" xfId="2" applyFont="1" applyFill="1" applyBorder="1" applyAlignment="1">
      <alignment horizontal="center" vertical="center"/>
    </xf>
    <xf numFmtId="0" fontId="8" fillId="0" borderId="0" xfId="2" applyFont="1" applyFill="1">
      <alignment vertical="center"/>
    </xf>
    <xf numFmtId="0" fontId="12" fillId="0" borderId="0" xfId="2" applyFont="1">
      <alignment vertical="center"/>
    </xf>
    <xf numFmtId="0" fontId="12" fillId="0" borderId="14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13" fillId="0" borderId="14" xfId="0" quotePrefix="1" applyFont="1" applyBorder="1" applyAlignment="1">
      <alignment vertical="center" wrapText="1"/>
    </xf>
    <xf numFmtId="0" fontId="13" fillId="0" borderId="14" xfId="0" applyFont="1" applyBorder="1" applyAlignment="1">
      <alignment vertical="center" wrapText="1"/>
    </xf>
    <xf numFmtId="0" fontId="0" fillId="0" borderId="0" xfId="0" applyAlignment="1">
      <alignment wrapText="1"/>
    </xf>
    <xf numFmtId="0" fontId="13" fillId="7" borderId="14" xfId="0" applyFont="1" applyFill="1" applyBorder="1" applyAlignment="1">
      <alignment vertical="center" wrapText="1"/>
    </xf>
    <xf numFmtId="0" fontId="7" fillId="0" borderId="0" xfId="3" applyFont="1" applyAlignment="1" applyProtection="1">
      <alignment horizontal="right" vertical="center"/>
    </xf>
    <xf numFmtId="0" fontId="9" fillId="2" borderId="1" xfId="2" applyFont="1" applyFill="1" applyBorder="1" applyAlignment="1">
      <alignment horizontal="centerContinuous" vertical="center"/>
    </xf>
    <xf numFmtId="0" fontId="9" fillId="2" borderId="2" xfId="2" applyFont="1" applyFill="1" applyBorder="1" applyAlignment="1">
      <alignment horizontal="centerContinuous" vertical="center"/>
    </xf>
    <xf numFmtId="0" fontId="9" fillId="2" borderId="3" xfId="2" applyFont="1" applyFill="1" applyBorder="1" applyAlignment="1">
      <alignment horizontal="centerContinuous" vertical="center"/>
    </xf>
    <xf numFmtId="0" fontId="10" fillId="3" borderId="0" xfId="2" applyFont="1" applyFill="1" applyBorder="1" applyAlignment="1">
      <alignment horizontal="center" vertical="center"/>
    </xf>
    <xf numFmtId="0" fontId="10" fillId="4" borderId="4" xfId="2" applyFont="1" applyFill="1" applyBorder="1" applyAlignment="1">
      <alignment horizontal="center" vertical="center"/>
    </xf>
    <xf numFmtId="0" fontId="9" fillId="3" borderId="5" xfId="2" applyFont="1" applyFill="1" applyBorder="1" applyAlignment="1">
      <alignment horizontal="centerContinuous" vertical="center"/>
    </xf>
    <xf numFmtId="0" fontId="9" fillId="3" borderId="0" xfId="2" applyFont="1" applyFill="1" applyBorder="1" applyAlignment="1">
      <alignment horizontal="centerContinuous" vertical="center"/>
    </xf>
    <xf numFmtId="0" fontId="9" fillId="3" borderId="6" xfId="2" applyFont="1" applyFill="1" applyBorder="1" applyAlignment="1">
      <alignment horizontal="left" vertical="center"/>
    </xf>
    <xf numFmtId="0" fontId="9" fillId="3" borderId="7" xfId="2" applyFont="1" applyFill="1" applyBorder="1" applyAlignment="1">
      <alignment horizontal="left" vertical="center"/>
    </xf>
    <xf numFmtId="0" fontId="9" fillId="3" borderId="8" xfId="2" applyFont="1" applyFill="1" applyBorder="1" applyAlignment="1">
      <alignment horizontal="left" vertical="center"/>
    </xf>
    <xf numFmtId="0" fontId="9" fillId="3" borderId="0" xfId="2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Continuous" vertical="center"/>
    </xf>
    <xf numFmtId="0" fontId="9" fillId="5" borderId="1" xfId="2" applyFont="1" applyFill="1" applyBorder="1" applyAlignment="1">
      <alignment horizontal="centerContinuous" vertical="center"/>
    </xf>
    <xf numFmtId="0" fontId="9" fillId="5" borderId="3" xfId="2" applyFont="1" applyFill="1" applyBorder="1" applyAlignment="1">
      <alignment horizontal="centerContinuous" vertical="center"/>
    </xf>
    <xf numFmtId="0" fontId="9" fillId="3" borderId="9" xfId="2" applyFont="1" applyFill="1" applyBorder="1" applyAlignment="1">
      <alignment horizontal="center" vertical="center"/>
    </xf>
    <xf numFmtId="0" fontId="10" fillId="3" borderId="10" xfId="2" applyFont="1" applyFill="1" applyBorder="1" applyAlignment="1">
      <alignment horizontal="center" vertical="center"/>
    </xf>
    <xf numFmtId="0" fontId="10" fillId="3" borderId="11" xfId="2" applyFont="1" applyFill="1" applyBorder="1" applyAlignment="1">
      <alignment horizontal="centerContinuous" vertical="center"/>
    </xf>
    <xf numFmtId="0" fontId="10" fillId="3" borderId="12" xfId="2" applyFont="1" applyFill="1" applyBorder="1" applyAlignment="1">
      <alignment horizontal="centerContinuous" vertical="center"/>
    </xf>
    <xf numFmtId="0" fontId="10" fillId="3" borderId="8" xfId="2" applyFont="1" applyFill="1" applyBorder="1" applyAlignment="1">
      <alignment horizontal="centerContinuous" vertical="center"/>
    </xf>
    <xf numFmtId="0" fontId="9" fillId="3" borderId="13" xfId="2" applyFont="1" applyFill="1" applyBorder="1" applyAlignment="1">
      <alignment horizontal="centerContinuous" vertical="center"/>
    </xf>
    <xf numFmtId="0" fontId="9" fillId="0" borderId="0" xfId="2" applyFont="1" applyFill="1">
      <alignment vertical="center"/>
    </xf>
    <xf numFmtId="0" fontId="4" fillId="0" borderId="14" xfId="2" applyFont="1" applyBorder="1" applyAlignment="1">
      <alignment horizontal="center" vertical="center"/>
    </xf>
    <xf numFmtId="0" fontId="9" fillId="0" borderId="14" xfId="2" applyFont="1" applyFill="1" applyBorder="1">
      <alignment vertical="center"/>
    </xf>
    <xf numFmtId="0" fontId="9" fillId="0" borderId="14" xfId="2" applyFont="1" applyFill="1" applyBorder="1" applyAlignment="1">
      <alignment vertical="center" shrinkToFit="1"/>
    </xf>
    <xf numFmtId="0" fontId="9" fillId="0" borderId="14" xfId="2" applyFont="1" applyFill="1" applyBorder="1" applyAlignment="1">
      <alignment horizontal="center" vertical="center"/>
    </xf>
    <xf numFmtId="0" fontId="11" fillId="0" borderId="14" xfId="2" applyFont="1" applyFill="1" applyBorder="1">
      <alignment vertical="center"/>
    </xf>
    <xf numFmtId="0" fontId="9" fillId="0" borderId="14" xfId="2" applyFont="1" applyFill="1" applyBorder="1" applyAlignment="1">
      <alignment vertical="center" wrapText="1"/>
    </xf>
    <xf numFmtId="0" fontId="4" fillId="6" borderId="14" xfId="2" applyFont="1" applyFill="1" applyBorder="1" applyAlignment="1">
      <alignment horizontal="center" vertical="center"/>
    </xf>
    <xf numFmtId="0" fontId="9" fillId="6" borderId="14" xfId="2" applyFont="1" applyFill="1" applyBorder="1" applyAlignment="1">
      <alignment vertical="center"/>
    </xf>
    <xf numFmtId="0" fontId="9" fillId="6" borderId="14" xfId="2" applyFont="1" applyFill="1" applyBorder="1" applyAlignment="1">
      <alignment vertical="center" shrinkToFit="1"/>
    </xf>
    <xf numFmtId="0" fontId="9" fillId="6" borderId="14" xfId="2" applyFont="1" applyFill="1" applyBorder="1" applyAlignment="1">
      <alignment horizontal="center" vertical="center"/>
    </xf>
    <xf numFmtId="0" fontId="9" fillId="6" borderId="14" xfId="2" applyFont="1" applyFill="1" applyBorder="1" applyAlignment="1">
      <alignment vertical="center" wrapText="1"/>
    </xf>
    <xf numFmtId="0" fontId="9" fillId="0" borderId="0" xfId="2" applyFont="1" applyFill="1" applyAlignment="1">
      <alignment vertical="center"/>
    </xf>
    <xf numFmtId="0" fontId="12" fillId="0" borderId="14" xfId="0" applyFont="1" applyFill="1" applyBorder="1" applyAlignment="1">
      <alignment horizontal="left" vertical="center"/>
    </xf>
    <xf numFmtId="0" fontId="8" fillId="0" borderId="14" xfId="2" applyFont="1" applyFill="1" applyBorder="1" applyAlignment="1">
      <alignment vertical="center"/>
    </xf>
    <xf numFmtId="0" fontId="12" fillId="0" borderId="14" xfId="0" applyFont="1" applyBorder="1" applyAlignment="1">
      <alignment horizontal="right" vertical="center"/>
    </xf>
    <xf numFmtId="0" fontId="12" fillId="0" borderId="14" xfId="0" quotePrefix="1" applyFont="1" applyBorder="1" applyAlignment="1">
      <alignment horizontal="right" vertical="center"/>
    </xf>
    <xf numFmtId="0" fontId="14" fillId="0" borderId="14" xfId="1" applyFont="1" applyBorder="1" applyAlignment="1">
      <alignment horizontal="right" vertical="center"/>
    </xf>
    <xf numFmtId="0" fontId="12" fillId="0" borderId="14" xfId="2" applyFont="1" applyFill="1" applyBorder="1" applyAlignment="1">
      <alignment vertical="center"/>
    </xf>
    <xf numFmtId="0" fontId="12" fillId="0" borderId="14" xfId="2" applyFont="1" applyFill="1" applyBorder="1" applyAlignment="1">
      <alignment horizontal="center" vertical="center"/>
    </xf>
    <xf numFmtId="0" fontId="12" fillId="0" borderId="14" xfId="2" applyFont="1" applyFill="1" applyBorder="1" applyAlignment="1">
      <alignment vertical="center" wrapText="1"/>
    </xf>
    <xf numFmtId="14" fontId="12" fillId="0" borderId="14" xfId="0" applyNumberFormat="1" applyFont="1" applyBorder="1" applyAlignment="1">
      <alignment horizontal="right" vertical="center"/>
    </xf>
    <xf numFmtId="0" fontId="8" fillId="0" borderId="0" xfId="2" applyFont="1" applyFill="1" applyAlignment="1">
      <alignment vertical="center"/>
    </xf>
    <xf numFmtId="0" fontId="16" fillId="0" borderId="14" xfId="0" quotePrefix="1" applyFont="1" applyBorder="1" applyAlignment="1"/>
    <xf numFmtId="0" fontId="15" fillId="0" borderId="14" xfId="0" applyFont="1" applyBorder="1"/>
    <xf numFmtId="0" fontId="0" fillId="0" borderId="14" xfId="0" applyBorder="1" applyAlignment="1">
      <alignment horizontal="right"/>
    </xf>
    <xf numFmtId="0" fontId="16" fillId="0" borderId="14" xfId="0" quotePrefix="1" applyFont="1" applyBorder="1" applyAlignment="1">
      <alignment horizontal="right"/>
    </xf>
    <xf numFmtId="0" fontId="15" fillId="0" borderId="14" xfId="0" applyFont="1" applyBorder="1" applyAlignment="1">
      <alignment horizontal="right"/>
    </xf>
    <xf numFmtId="14" fontId="0" fillId="0" borderId="14" xfId="0" applyNumberFormat="1" applyBorder="1" applyAlignment="1">
      <alignment horizontal="right"/>
    </xf>
    <xf numFmtId="0" fontId="18" fillId="0" borderId="14" xfId="2" applyFont="1" applyFill="1" applyBorder="1" applyAlignment="1">
      <alignment vertical="center"/>
    </xf>
    <xf numFmtId="0" fontId="17" fillId="0" borderId="14" xfId="2" applyFont="1" applyFill="1" applyBorder="1" applyAlignment="1">
      <alignment vertical="center"/>
    </xf>
    <xf numFmtId="0" fontId="0" fillId="0" borderId="14" xfId="0" quotePrefix="1" applyBorder="1" applyAlignment="1"/>
    <xf numFmtId="0" fontId="15" fillId="0" borderId="14" xfId="0" quotePrefix="1" applyFont="1" applyBorder="1" applyAlignment="1"/>
    <xf numFmtId="0" fontId="8" fillId="0" borderId="0" xfId="2" applyFont="1" applyFill="1" applyAlignment="1">
      <alignment vertical="center" wrapText="1"/>
    </xf>
    <xf numFmtId="0" fontId="0" fillId="0" borderId="14" xfId="0" applyBorder="1" applyAlignment="1">
      <alignment horizontal="left"/>
    </xf>
  </cellXfs>
  <cellStyles count="5">
    <cellStyle name="ハイパーリンク" xfId="1" builtinId="8"/>
    <cellStyle name="ハイパーリンク 2" xfId="3" xr:uid="{8BC5E1D3-9EB9-4D27-BB9F-B5A6357242C6}"/>
    <cellStyle name="標準" xfId="0" builtinId="0"/>
    <cellStyle name="標準 2" xfId="2" xr:uid="{062F5464-5712-4FA4-B703-9DE32693A3A4}"/>
    <cellStyle name="標準 2 2" xfId="4" xr:uid="{743CD21B-B024-44DC-9830-A16E77F5F87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76200</xdr:rowOff>
        </xdr:from>
        <xdr:to>
          <xdr:col>4</xdr:col>
          <xdr:colOff>200025</xdr:colOff>
          <xdr:row>3</xdr:row>
          <xdr:rowOff>180975</xdr:rowOff>
        </xdr:to>
        <xdr:sp macro="" textlink="">
          <xdr:nvSpPr>
            <xdr:cNvPr id="1025" name="btnSakuse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9999@163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B2:E29"/>
  <sheetViews>
    <sheetView workbookViewId="0">
      <pane ySplit="3" topLeftCell="A4" activePane="bottomLeft" state="frozen"/>
      <selection pane="bottomLeft" activeCell="E20" sqref="E20"/>
    </sheetView>
  </sheetViews>
  <sheetFormatPr defaultRowHeight="18.75"/>
  <cols>
    <col min="2" max="2" width="4.5" bestFit="1" customWidth="1"/>
    <col min="3" max="3" width="25.375" style="17" customWidth="1"/>
    <col min="4" max="5" width="32.25" customWidth="1"/>
  </cols>
  <sheetData>
    <row r="2" spans="2:5">
      <c r="B2" t="s">
        <v>115</v>
      </c>
    </row>
    <row r="3" spans="2:5">
      <c r="B3" s="5" t="s">
        <v>31</v>
      </c>
      <c r="C3" s="5" t="s">
        <v>28</v>
      </c>
      <c r="D3" s="5" t="s">
        <v>29</v>
      </c>
      <c r="E3" s="5" t="s">
        <v>30</v>
      </c>
    </row>
    <row r="4" spans="2:5">
      <c r="B4" s="14">
        <f>IF(C4="","",ROW()-3)</f>
        <v>1</v>
      </c>
      <c r="C4" s="16" t="s">
        <v>25</v>
      </c>
      <c r="D4" s="15" t="s">
        <v>26</v>
      </c>
      <c r="E4" s="15" t="s">
        <v>27</v>
      </c>
    </row>
    <row r="5" spans="2:5">
      <c r="B5" s="14">
        <f t="shared" ref="B5:B29" si="0">IF(C5="","",ROW()-3)</f>
        <v>2</v>
      </c>
      <c r="C5" s="18" t="s">
        <v>32</v>
      </c>
      <c r="D5" s="15" t="s">
        <v>33</v>
      </c>
      <c r="E5" s="15" t="s">
        <v>34</v>
      </c>
    </row>
    <row r="6" spans="2:5" ht="24">
      <c r="B6" s="14">
        <f t="shared" si="0"/>
        <v>3</v>
      </c>
      <c r="C6" s="16" t="s">
        <v>35</v>
      </c>
      <c r="D6" s="15" t="s">
        <v>36</v>
      </c>
      <c r="E6" s="15" t="s">
        <v>37</v>
      </c>
    </row>
    <row r="7" spans="2:5" ht="24">
      <c r="B7" s="14">
        <f t="shared" si="0"/>
        <v>4</v>
      </c>
      <c r="C7" s="16" t="s">
        <v>38</v>
      </c>
      <c r="D7" s="16" t="s">
        <v>39</v>
      </c>
      <c r="E7" s="16" t="s">
        <v>40</v>
      </c>
    </row>
    <row r="8" spans="2:5" ht="24">
      <c r="B8" s="14">
        <f t="shared" si="0"/>
        <v>5</v>
      </c>
      <c r="C8" s="18" t="s">
        <v>41</v>
      </c>
      <c r="D8" s="16" t="s">
        <v>39</v>
      </c>
      <c r="E8" s="16" t="s">
        <v>40</v>
      </c>
    </row>
    <row r="9" spans="2:5">
      <c r="B9" s="14">
        <f t="shared" si="0"/>
        <v>6</v>
      </c>
      <c r="C9" s="16" t="s">
        <v>42</v>
      </c>
      <c r="D9" s="16" t="s">
        <v>43</v>
      </c>
      <c r="E9" s="16" t="s">
        <v>44</v>
      </c>
    </row>
    <row r="10" spans="2:5" ht="24">
      <c r="B10" s="14">
        <f t="shared" si="0"/>
        <v>7</v>
      </c>
      <c r="C10" s="18" t="s">
        <v>45</v>
      </c>
      <c r="D10" s="16" t="s">
        <v>46</v>
      </c>
      <c r="E10" s="16"/>
    </row>
    <row r="11" spans="2:5" ht="24">
      <c r="B11" s="14">
        <f t="shared" si="0"/>
        <v>8</v>
      </c>
      <c r="C11" s="18" t="s">
        <v>47</v>
      </c>
      <c r="D11" s="16" t="s">
        <v>48</v>
      </c>
      <c r="E11" s="16"/>
    </row>
    <row r="12" spans="2:5">
      <c r="B12" s="14">
        <f t="shared" si="0"/>
        <v>9</v>
      </c>
      <c r="C12" s="16" t="s">
        <v>49</v>
      </c>
      <c r="D12" s="16" t="s">
        <v>50</v>
      </c>
      <c r="E12" s="16"/>
    </row>
    <row r="13" spans="2:5">
      <c r="B13" s="14">
        <f t="shared" si="0"/>
        <v>10</v>
      </c>
      <c r="C13" s="18" t="s">
        <v>53</v>
      </c>
      <c r="D13" s="16" t="s">
        <v>51</v>
      </c>
      <c r="E13" s="16"/>
    </row>
    <row r="14" spans="2:5">
      <c r="B14" s="14">
        <f t="shared" si="0"/>
        <v>11</v>
      </c>
      <c r="C14" s="16" t="s">
        <v>54</v>
      </c>
      <c r="D14" s="16" t="s">
        <v>52</v>
      </c>
      <c r="E14" s="16"/>
    </row>
    <row r="15" spans="2:5">
      <c r="B15" s="14">
        <f t="shared" si="0"/>
        <v>12</v>
      </c>
      <c r="C15" s="16" t="s">
        <v>55</v>
      </c>
      <c r="D15" s="16" t="s">
        <v>56</v>
      </c>
      <c r="E15" s="16"/>
    </row>
    <row r="16" spans="2:5">
      <c r="B16" s="14">
        <f t="shared" si="0"/>
        <v>13</v>
      </c>
      <c r="C16" s="16" t="s">
        <v>57</v>
      </c>
      <c r="D16" s="16" t="s">
        <v>58</v>
      </c>
      <c r="E16" s="16"/>
    </row>
    <row r="17" spans="2:5">
      <c r="B17" s="14" t="str">
        <f t="shared" si="0"/>
        <v/>
      </c>
      <c r="C17" s="16"/>
      <c r="D17" s="16"/>
      <c r="E17" s="16"/>
    </row>
    <row r="18" spans="2:5">
      <c r="B18" s="14" t="str">
        <f t="shared" si="0"/>
        <v/>
      </c>
      <c r="C18" s="16"/>
      <c r="D18" s="16"/>
      <c r="E18" s="16"/>
    </row>
    <row r="19" spans="2:5">
      <c r="B19" s="14" t="str">
        <f t="shared" si="0"/>
        <v/>
      </c>
      <c r="C19" s="16"/>
      <c r="D19" s="16"/>
      <c r="E19" s="16"/>
    </row>
    <row r="20" spans="2:5">
      <c r="B20" s="14" t="str">
        <f t="shared" si="0"/>
        <v/>
      </c>
      <c r="C20" s="16"/>
      <c r="D20" s="16"/>
      <c r="E20" s="16"/>
    </row>
    <row r="21" spans="2:5">
      <c r="B21" s="14" t="str">
        <f t="shared" si="0"/>
        <v/>
      </c>
      <c r="C21" s="16"/>
      <c r="D21" s="16"/>
      <c r="E21" s="16"/>
    </row>
    <row r="22" spans="2:5">
      <c r="B22" s="14" t="str">
        <f t="shared" si="0"/>
        <v/>
      </c>
      <c r="C22" s="16"/>
      <c r="D22" s="16"/>
      <c r="E22" s="16"/>
    </row>
    <row r="23" spans="2:5">
      <c r="B23" s="14" t="str">
        <f t="shared" si="0"/>
        <v/>
      </c>
      <c r="C23" s="16"/>
      <c r="D23" s="16"/>
      <c r="E23" s="16"/>
    </row>
    <row r="24" spans="2:5">
      <c r="B24" s="14" t="str">
        <f t="shared" si="0"/>
        <v/>
      </c>
      <c r="C24" s="16"/>
      <c r="D24" s="16"/>
      <c r="E24" s="16"/>
    </row>
    <row r="25" spans="2:5">
      <c r="B25" s="14" t="str">
        <f t="shared" si="0"/>
        <v/>
      </c>
      <c r="C25" s="16"/>
      <c r="D25" s="16"/>
      <c r="E25" s="16"/>
    </row>
    <row r="26" spans="2:5">
      <c r="B26" s="14" t="str">
        <f t="shared" si="0"/>
        <v/>
      </c>
      <c r="C26" s="16"/>
      <c r="D26" s="16"/>
      <c r="E26" s="16"/>
    </row>
    <row r="27" spans="2:5">
      <c r="B27" s="14" t="str">
        <f t="shared" si="0"/>
        <v/>
      </c>
      <c r="C27" s="16"/>
      <c r="D27" s="16"/>
      <c r="E27" s="16"/>
    </row>
    <row r="28" spans="2:5">
      <c r="B28" s="14" t="str">
        <f t="shared" si="0"/>
        <v/>
      </c>
      <c r="C28" s="16"/>
      <c r="D28" s="16"/>
      <c r="E28" s="16"/>
    </row>
    <row r="29" spans="2:5">
      <c r="B29" s="14" t="str">
        <f t="shared" si="0"/>
        <v/>
      </c>
      <c r="C29" s="16"/>
      <c r="D29" s="16"/>
      <c r="E29" s="16"/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B5ABC-B630-4C73-B1FC-0F14F561B86A}">
  <sheetPr codeName="Sheet1"/>
  <dimension ref="A1"/>
  <sheetViews>
    <sheetView workbookViewId="0">
      <selection activeCell="B10" sqref="B10"/>
    </sheetView>
  </sheetViews>
  <sheetFormatPr defaultRowHeight="18.75"/>
  <sheetData/>
  <phoneticPr fontId="5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Sakusei">
          <controlPr defaultSize="0" autoLine="0" r:id="rId4">
            <anchor moveWithCells="1">
              <from>
                <xdr:col>3</xdr:col>
                <xdr:colOff>0</xdr:colOff>
                <xdr:row>2</xdr:row>
                <xdr:rowOff>76200</xdr:rowOff>
              </from>
              <to>
                <xdr:col>4</xdr:col>
                <xdr:colOff>200025</xdr:colOff>
                <xdr:row>3</xdr:row>
                <xdr:rowOff>180975</xdr:rowOff>
              </to>
            </anchor>
          </controlPr>
        </control>
      </mc:Choice>
      <mc:Fallback>
        <control shapeId="1025" r:id="rId3" name="btnSakuse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20E44-F9BB-4FC9-8E3D-E9ACC4D0A343}">
  <sheetPr codeName="Sheet15"/>
  <dimension ref="A1:L35"/>
  <sheetViews>
    <sheetView tabSelected="1" view="pageBreakPreview" zoomScaleNormal="100" zoomScaleSheetLayoutView="100" workbookViewId="0">
      <pane ySplit="7" topLeftCell="A8" activePane="bottomLeft" state="frozen"/>
      <selection activeCell="O18" sqref="O18"/>
      <selection pane="bottomLeft" activeCell="Q12" sqref="Q12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35" t="s">
        <v>84</v>
      </c>
      <c r="C5" s="35" t="s">
        <v>59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K8" s="52"/>
      <c r="L8" s="40"/>
    </row>
    <row r="9" spans="1:12" s="12" customFormat="1" ht="24.95" customHeight="1">
      <c r="A9" s="13">
        <f>IF(B9="","",ROW()-8)</f>
        <v>1</v>
      </c>
      <c r="B9" s="53" t="s">
        <v>75</v>
      </c>
      <c r="C9" s="53" t="s">
        <v>60</v>
      </c>
      <c r="D9" s="54" t="s">
        <v>72</v>
      </c>
      <c r="E9" s="54">
        <v>60</v>
      </c>
      <c r="F9" s="54"/>
      <c r="G9" s="10" t="s">
        <v>19</v>
      </c>
      <c r="H9" s="10" t="s">
        <v>20</v>
      </c>
      <c r="I9" s="54"/>
      <c r="J9" s="54"/>
      <c r="K9" s="55" t="s">
        <v>69</v>
      </c>
      <c r="L9" s="11"/>
    </row>
    <row r="10" spans="1:12" s="12" customFormat="1" ht="24.95" customHeight="1">
      <c r="A10" s="13">
        <f>IF(B10="","",ROW()-8)</f>
        <v>2</v>
      </c>
      <c r="B10" s="53" t="s">
        <v>76</v>
      </c>
      <c r="C10" s="53" t="s">
        <v>61</v>
      </c>
      <c r="D10" s="54" t="s">
        <v>72</v>
      </c>
      <c r="E10" s="54">
        <v>60</v>
      </c>
      <c r="F10" s="54"/>
      <c r="G10" s="10" t="s">
        <v>19</v>
      </c>
      <c r="H10" s="10"/>
      <c r="I10" s="54"/>
      <c r="J10" s="54"/>
      <c r="K10" s="55">
        <v>123456</v>
      </c>
      <c r="L10" s="11"/>
    </row>
    <row r="11" spans="1:12" s="12" customFormat="1" ht="24.95" customHeight="1">
      <c r="A11" s="13">
        <f t="shared" ref="A11:A35" si="0">IF(B11="","",ROW()-8)</f>
        <v>3</v>
      </c>
      <c r="B11" s="53" t="s">
        <v>77</v>
      </c>
      <c r="C11" s="53" t="s">
        <v>62</v>
      </c>
      <c r="D11" s="54" t="s">
        <v>72</v>
      </c>
      <c r="E11" s="54">
        <v>20</v>
      </c>
      <c r="F11" s="54"/>
      <c r="G11" s="10" t="s">
        <v>19</v>
      </c>
      <c r="H11" s="10"/>
      <c r="I11" s="54"/>
      <c r="J11" s="54"/>
      <c r="K11" s="55" t="s">
        <v>83</v>
      </c>
      <c r="L11" s="11"/>
    </row>
    <row r="12" spans="1:12" s="12" customFormat="1" ht="24.95" customHeight="1">
      <c r="A12" s="13">
        <f t="shared" si="0"/>
        <v>4</v>
      </c>
      <c r="B12" s="53" t="s">
        <v>78</v>
      </c>
      <c r="C12" s="53" t="s">
        <v>63</v>
      </c>
      <c r="D12" s="54" t="s">
        <v>73</v>
      </c>
      <c r="E12" s="54">
        <v>11</v>
      </c>
      <c r="F12" s="54"/>
      <c r="G12" s="10" t="s">
        <v>74</v>
      </c>
      <c r="H12" s="10"/>
      <c r="I12" s="54"/>
      <c r="J12" s="54"/>
      <c r="K12" s="56" t="s">
        <v>70</v>
      </c>
      <c r="L12" s="11"/>
    </row>
    <row r="13" spans="1:12" s="12" customFormat="1" ht="24.95" customHeight="1">
      <c r="A13" s="13">
        <f t="shared" si="0"/>
        <v>5</v>
      </c>
      <c r="B13" s="53" t="s">
        <v>79</v>
      </c>
      <c r="C13" s="53" t="s">
        <v>64</v>
      </c>
      <c r="D13" s="54" t="s">
        <v>72</v>
      </c>
      <c r="E13" s="54">
        <v>60</v>
      </c>
      <c r="F13" s="54"/>
      <c r="G13" s="10" t="s">
        <v>19</v>
      </c>
      <c r="H13" s="10"/>
      <c r="I13" s="54"/>
      <c r="J13" s="54"/>
      <c r="K13" s="57" t="s">
        <v>71</v>
      </c>
      <c r="L13" s="11"/>
    </row>
    <row r="14" spans="1:12" s="12" customFormat="1" ht="24.95" customHeight="1">
      <c r="A14" s="13">
        <f t="shared" si="0"/>
        <v>6</v>
      </c>
      <c r="B14" s="53" t="s">
        <v>80</v>
      </c>
      <c r="C14" s="53" t="s">
        <v>66</v>
      </c>
      <c r="D14" s="54" t="s">
        <v>73</v>
      </c>
      <c r="E14" s="54">
        <v>1</v>
      </c>
      <c r="F14" s="54"/>
      <c r="G14" s="10" t="s">
        <v>74</v>
      </c>
      <c r="H14" s="10"/>
      <c r="I14" s="54"/>
      <c r="J14" s="54"/>
      <c r="K14" s="55">
        <v>1</v>
      </c>
      <c r="L14" s="11"/>
    </row>
    <row r="15" spans="1:12" s="12" customFormat="1" ht="24.95" customHeight="1">
      <c r="A15" s="13"/>
      <c r="B15" s="53"/>
      <c r="C15" s="53" t="s">
        <v>145</v>
      </c>
      <c r="D15" s="54"/>
      <c r="E15" s="54"/>
      <c r="F15" s="54"/>
      <c r="G15" s="10"/>
      <c r="H15" s="10"/>
      <c r="I15" s="54"/>
      <c r="J15" s="54"/>
      <c r="K15" s="55"/>
      <c r="L15" s="11"/>
    </row>
    <row r="16" spans="1:12" s="12" customFormat="1" ht="24.95" customHeight="1">
      <c r="A16" s="13">
        <f t="shared" si="0"/>
        <v>8</v>
      </c>
      <c r="B16" s="53" t="s">
        <v>81</v>
      </c>
      <c r="C16" s="53" t="s">
        <v>67</v>
      </c>
      <c r="D16" s="54" t="s">
        <v>144</v>
      </c>
      <c r="E16" s="58"/>
      <c r="F16" s="58"/>
      <c r="G16" s="10" t="s">
        <v>19</v>
      </c>
      <c r="H16" s="59"/>
      <c r="I16" s="58"/>
      <c r="J16" s="60"/>
      <c r="K16" s="61">
        <v>43651</v>
      </c>
    </row>
    <row r="17" spans="1:12" s="12" customFormat="1" ht="24.95" customHeight="1">
      <c r="A17" s="13">
        <f t="shared" si="0"/>
        <v>9</v>
      </c>
      <c r="B17" s="53" t="s">
        <v>82</v>
      </c>
      <c r="C17" s="53" t="s">
        <v>68</v>
      </c>
      <c r="D17" s="54" t="s">
        <v>144</v>
      </c>
      <c r="E17" s="54"/>
      <c r="F17" s="54"/>
      <c r="G17" s="10" t="s">
        <v>19</v>
      </c>
      <c r="H17" s="10"/>
      <c r="I17" s="54"/>
      <c r="J17" s="54"/>
      <c r="K17" s="61">
        <v>43651</v>
      </c>
      <c r="L17" s="11"/>
    </row>
    <row r="18" spans="1:12" s="12" customFormat="1" ht="24.95" customHeight="1">
      <c r="A18" s="13" t="str">
        <f t="shared" si="0"/>
        <v/>
      </c>
      <c r="B18" s="54"/>
      <c r="C18" s="9"/>
      <c r="D18" s="54"/>
      <c r="E18" s="54"/>
      <c r="F18" s="54"/>
      <c r="G18" s="10"/>
      <c r="H18" s="10"/>
      <c r="I18" s="10"/>
      <c r="J18" s="54"/>
      <c r="K18" s="62"/>
      <c r="L18" s="11"/>
    </row>
    <row r="19" spans="1:12" s="12" customFormat="1" ht="24.95" customHeight="1">
      <c r="A19" s="13" t="str">
        <f t="shared" si="0"/>
        <v/>
      </c>
      <c r="B19" s="54"/>
      <c r="C19" s="9"/>
      <c r="D19" s="54"/>
      <c r="E19" s="54"/>
      <c r="F19" s="54"/>
      <c r="G19" s="10"/>
      <c r="H19" s="10"/>
      <c r="I19" s="54"/>
      <c r="J19" s="54"/>
      <c r="K19" s="62"/>
      <c r="L19" s="11"/>
    </row>
    <row r="20" spans="1:12" s="12" customFormat="1" ht="24.95" customHeight="1">
      <c r="A20" s="13" t="str">
        <f t="shared" si="0"/>
        <v/>
      </c>
      <c r="B20" s="54"/>
      <c r="C20" s="9"/>
      <c r="D20" s="54"/>
      <c r="E20" s="54"/>
      <c r="F20" s="54"/>
      <c r="G20" s="10"/>
      <c r="H20" s="10"/>
      <c r="I20" s="54"/>
      <c r="J20" s="54"/>
      <c r="K20" s="62"/>
      <c r="L20" s="11"/>
    </row>
    <row r="21" spans="1:12" s="12" customFormat="1" ht="24.95" customHeight="1">
      <c r="A21" s="13" t="str">
        <f t="shared" si="0"/>
        <v/>
      </c>
      <c r="B21" s="54"/>
      <c r="C21" s="9"/>
      <c r="D21" s="54"/>
      <c r="E21" s="54"/>
      <c r="F21" s="54"/>
      <c r="G21" s="10"/>
      <c r="H21" s="10"/>
      <c r="I21" s="54"/>
      <c r="J21" s="54"/>
      <c r="K21" s="62"/>
      <c r="L21" s="11"/>
    </row>
    <row r="22" spans="1:12" s="12" customFormat="1" ht="24.95" customHeight="1">
      <c r="A22" s="13" t="str">
        <f t="shared" si="0"/>
        <v/>
      </c>
      <c r="B22" s="54"/>
      <c r="C22" s="9"/>
      <c r="D22" s="54"/>
      <c r="E22" s="54"/>
      <c r="F22" s="54"/>
      <c r="G22" s="10"/>
      <c r="H22" s="10"/>
      <c r="I22" s="54"/>
      <c r="J22" s="54"/>
      <c r="K22" s="62"/>
      <c r="L22" s="11"/>
    </row>
    <row r="23" spans="1:12" ht="24.95" customHeight="1">
      <c r="A23" s="41" t="str">
        <f t="shared" si="0"/>
        <v/>
      </c>
      <c r="B23" s="42"/>
      <c r="C23" s="43"/>
      <c r="D23" s="42"/>
      <c r="E23" s="42"/>
      <c r="F23" s="42"/>
      <c r="G23" s="44"/>
      <c r="H23" s="44"/>
      <c r="I23" s="42"/>
      <c r="J23" s="42"/>
      <c r="K23" s="40"/>
      <c r="L23" s="40"/>
    </row>
    <row r="24" spans="1:12" ht="24.95" customHeight="1">
      <c r="A24" s="41" t="str">
        <f t="shared" si="0"/>
        <v/>
      </c>
      <c r="B24" s="42"/>
      <c r="C24" s="43"/>
      <c r="D24" s="42"/>
      <c r="E24" s="42"/>
      <c r="F24" s="42"/>
      <c r="G24" s="44"/>
      <c r="H24" s="44"/>
      <c r="I24" s="42"/>
      <c r="J24" s="42"/>
      <c r="K24" s="40"/>
      <c r="L24" s="40"/>
    </row>
    <row r="25" spans="1:12" ht="24.95" customHeight="1">
      <c r="A25" s="41" t="str">
        <f t="shared" si="0"/>
        <v/>
      </c>
      <c r="B25" s="42"/>
      <c r="C25" s="43"/>
      <c r="D25" s="42"/>
      <c r="E25" s="42"/>
      <c r="F25" s="42"/>
      <c r="G25" s="44"/>
      <c r="H25" s="44"/>
      <c r="I25" s="42"/>
      <c r="J25" s="42"/>
      <c r="K25" s="40"/>
      <c r="L25" s="40"/>
    </row>
    <row r="26" spans="1:12" ht="24.95" customHeight="1">
      <c r="A26" s="41" t="str">
        <f t="shared" si="0"/>
        <v/>
      </c>
      <c r="B26" s="45"/>
      <c r="C26" s="43"/>
      <c r="D26" s="45"/>
      <c r="E26" s="45"/>
      <c r="F26" s="42"/>
      <c r="G26" s="44"/>
      <c r="H26" s="44"/>
      <c r="I26" s="42"/>
      <c r="J26" s="46"/>
      <c r="K26" s="40"/>
      <c r="L26" s="40"/>
    </row>
    <row r="27" spans="1:12" ht="24.95" customHeight="1">
      <c r="A27" s="41" t="str">
        <f t="shared" si="0"/>
        <v/>
      </c>
      <c r="B27" s="45"/>
      <c r="C27" s="43"/>
      <c r="D27" s="45"/>
      <c r="E27" s="45"/>
      <c r="F27" s="42"/>
      <c r="G27" s="44"/>
      <c r="H27" s="44"/>
      <c r="I27" s="42"/>
      <c r="J27" s="46"/>
      <c r="K27" s="40"/>
      <c r="L27" s="40"/>
    </row>
    <row r="28" spans="1:12" ht="24.95" customHeight="1">
      <c r="A28" s="41" t="str">
        <f t="shared" si="0"/>
        <v/>
      </c>
      <c r="B28" s="45"/>
      <c r="C28" s="43"/>
      <c r="D28" s="45"/>
      <c r="E28" s="45"/>
      <c r="F28" s="42"/>
      <c r="G28" s="44"/>
      <c r="H28" s="44"/>
      <c r="I28" s="42"/>
      <c r="J28" s="46"/>
      <c r="K28" s="40"/>
      <c r="L28" s="40"/>
    </row>
    <row r="29" spans="1:12" ht="24.95" customHeight="1">
      <c r="A29" s="41" t="str">
        <f t="shared" si="0"/>
        <v/>
      </c>
      <c r="B29" s="45"/>
      <c r="C29" s="43"/>
      <c r="D29" s="45"/>
      <c r="E29" s="45"/>
      <c r="F29" s="42"/>
      <c r="G29" s="44"/>
      <c r="H29" s="44"/>
      <c r="I29" s="42"/>
      <c r="J29" s="46"/>
      <c r="K29" s="40"/>
      <c r="L29" s="40"/>
    </row>
    <row r="30" spans="1:12" ht="24.95" customHeight="1">
      <c r="A30" s="41" t="str">
        <f t="shared" si="0"/>
        <v/>
      </c>
      <c r="B30" s="42"/>
      <c r="C30" s="43"/>
      <c r="D30" s="42"/>
      <c r="E30" s="42"/>
      <c r="F30" s="42"/>
      <c r="G30" s="44"/>
      <c r="H30" s="44"/>
      <c r="I30" s="42"/>
      <c r="J30" s="46"/>
      <c r="K30" s="40"/>
      <c r="L30" s="40"/>
    </row>
    <row r="31" spans="1:12" ht="24.95" customHeight="1">
      <c r="A31" s="41" t="str">
        <f t="shared" si="0"/>
        <v/>
      </c>
      <c r="B31" s="42"/>
      <c r="C31" s="43"/>
      <c r="D31" s="42"/>
      <c r="E31" s="42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0"/>
        <v/>
      </c>
      <c r="B32" s="42"/>
      <c r="C32" s="43"/>
      <c r="D32" s="42"/>
      <c r="E32" s="42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0"/>
        <v/>
      </c>
      <c r="B33" s="42"/>
      <c r="C33" s="43"/>
      <c r="D33" s="42"/>
      <c r="E33" s="42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0"/>
        <v/>
      </c>
      <c r="B34" s="42"/>
      <c r="C34" s="43"/>
      <c r="D34" s="42"/>
      <c r="E34" s="42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0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</sheetData>
  <phoneticPr fontId="6"/>
  <hyperlinks>
    <hyperlink ref="J1" location="目次!A1" display="テーブル一覧へ" xr:uid="{90C29312-479F-4D0F-927F-622BD38AB12E}"/>
    <hyperlink ref="K13" r:id="rId1" xr:uid="{F2F5532E-1EF0-493F-8117-66D9EAB08FE2}"/>
  </hyperlinks>
  <pageMargins left="0.39370078740157483" right="0.39370078740157483" top="0.74803149606299213" bottom="0.39370078740157483" header="0.31496062992125984" footer="0.19685039370078741"/>
  <pageSetup paperSize="9" orientation="landscape" r:id="rId2"/>
  <headerFooter>
    <oddHeader>&amp;L&amp;9&amp;F&amp;R&amp;9&amp;A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E295-A9B1-4116-8054-F57DD3F9E242}">
  <sheetPr codeName="Sheet16"/>
  <dimension ref="A1:L43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D24" sqref="D24:D25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35" t="s">
        <v>85</v>
      </c>
      <c r="C5" s="35" t="s">
        <v>86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73</v>
      </c>
      <c r="E8" s="48">
        <v>11</v>
      </c>
      <c r="F8" s="48"/>
      <c r="G8" s="50" t="s">
        <v>19</v>
      </c>
      <c r="H8" s="50" t="s">
        <v>20</v>
      </c>
      <c r="I8" s="48"/>
      <c r="J8" s="51"/>
      <c r="K8" s="52"/>
      <c r="L8" s="40"/>
    </row>
    <row r="9" spans="1:12" s="12" customFormat="1" ht="24.95" customHeight="1">
      <c r="A9" s="13">
        <f>IF(B9="","",ROW()-8)</f>
        <v>1</v>
      </c>
      <c r="B9" s="54" t="s">
        <v>116</v>
      </c>
      <c r="C9" s="9" t="s">
        <v>117</v>
      </c>
      <c r="D9" s="54" t="s">
        <v>73</v>
      </c>
      <c r="E9" s="54">
        <v>1</v>
      </c>
      <c r="F9" s="54"/>
      <c r="G9" s="10" t="s">
        <v>19</v>
      </c>
      <c r="H9" s="10" t="s">
        <v>95</v>
      </c>
      <c r="I9" s="10"/>
      <c r="J9" s="54"/>
      <c r="K9" s="65" t="s">
        <v>118</v>
      </c>
      <c r="L9" s="11"/>
    </row>
    <row r="10" spans="1:12" s="12" customFormat="1" ht="24.95" customHeight="1">
      <c r="A10" s="13">
        <f>IF(B10="","",ROW()-8)</f>
        <v>2</v>
      </c>
      <c r="B10" s="54" t="s">
        <v>97</v>
      </c>
      <c r="C10" s="9" t="s">
        <v>119</v>
      </c>
      <c r="D10" s="54" t="s">
        <v>73</v>
      </c>
      <c r="E10" s="54">
        <v>6</v>
      </c>
      <c r="F10" s="54"/>
      <c r="G10" s="10" t="s">
        <v>19</v>
      </c>
      <c r="H10" s="10" t="s">
        <v>95</v>
      </c>
      <c r="I10" s="10"/>
      <c r="J10" s="54"/>
      <c r="K10" s="65">
        <v>201707</v>
      </c>
      <c r="L10" s="11"/>
    </row>
    <row r="11" spans="1:12" s="12" customFormat="1" ht="24.95" customHeight="1">
      <c r="A11" s="13">
        <f>IF(B11="","",ROW()-8)</f>
        <v>3</v>
      </c>
      <c r="B11" s="54" t="s">
        <v>120</v>
      </c>
      <c r="C11" s="9" t="s">
        <v>121</v>
      </c>
      <c r="D11" s="54" t="s">
        <v>73</v>
      </c>
      <c r="E11" s="54">
        <v>1</v>
      </c>
      <c r="F11" s="54"/>
      <c r="G11" s="10" t="s">
        <v>19</v>
      </c>
      <c r="H11" s="10" t="s">
        <v>95</v>
      </c>
      <c r="I11" s="10"/>
      <c r="J11" s="54"/>
      <c r="K11" s="66">
        <v>1</v>
      </c>
      <c r="L11" s="11" t="s">
        <v>122</v>
      </c>
    </row>
    <row r="12" spans="1:12" s="12" customFormat="1" ht="24.95" customHeight="1">
      <c r="A12" s="13">
        <f t="shared" ref="A12:A43" si="0">IF(B12="","",ROW()-8)</f>
        <v>4</v>
      </c>
      <c r="B12" s="69" t="s">
        <v>98</v>
      </c>
      <c r="C12" s="9" t="s">
        <v>88</v>
      </c>
      <c r="D12" s="54" t="s">
        <v>72</v>
      </c>
      <c r="E12" s="54">
        <v>3</v>
      </c>
      <c r="F12" s="54"/>
      <c r="G12" s="10" t="s">
        <v>19</v>
      </c>
      <c r="H12" s="10" t="s">
        <v>95</v>
      </c>
      <c r="I12" s="10"/>
      <c r="J12" s="54"/>
      <c r="K12" s="66">
        <v>1</v>
      </c>
      <c r="L12" s="11" t="s">
        <v>123</v>
      </c>
    </row>
    <row r="13" spans="1:12" s="12" customFormat="1" ht="24.95" customHeight="1">
      <c r="A13" s="13">
        <f t="shared" si="0"/>
        <v>5</v>
      </c>
      <c r="B13" s="69" t="s">
        <v>124</v>
      </c>
      <c r="C13" s="9" t="s">
        <v>126</v>
      </c>
      <c r="D13" s="54" t="s">
        <v>72</v>
      </c>
      <c r="E13" s="54">
        <v>200</v>
      </c>
      <c r="F13" s="54"/>
      <c r="G13" s="10"/>
      <c r="H13" s="10"/>
      <c r="I13" s="10"/>
      <c r="J13" s="54"/>
      <c r="K13" s="66"/>
      <c r="L13" s="62" t="s">
        <v>125</v>
      </c>
    </row>
    <row r="14" spans="1:12" s="12" customFormat="1" ht="24.95" customHeight="1">
      <c r="A14" s="13">
        <f t="shared" si="0"/>
        <v>6</v>
      </c>
      <c r="B14" s="54" t="s">
        <v>99</v>
      </c>
      <c r="C14" s="9" t="s">
        <v>87</v>
      </c>
      <c r="D14" s="54" t="s">
        <v>72</v>
      </c>
      <c r="E14" s="54">
        <v>5</v>
      </c>
      <c r="F14" s="54"/>
      <c r="G14" s="10" t="s">
        <v>19</v>
      </c>
      <c r="H14" s="10" t="s">
        <v>95</v>
      </c>
      <c r="I14" s="10"/>
      <c r="J14" s="54"/>
      <c r="K14" s="66" t="s">
        <v>93</v>
      </c>
      <c r="L14" s="11" t="s">
        <v>135</v>
      </c>
    </row>
    <row r="15" spans="1:12" s="12" customFormat="1" ht="24.95" customHeight="1">
      <c r="A15" s="13">
        <f t="shared" si="0"/>
        <v>7</v>
      </c>
      <c r="B15" s="69" t="s">
        <v>100</v>
      </c>
      <c r="C15" s="9" t="s">
        <v>89</v>
      </c>
      <c r="D15" s="54" t="s">
        <v>72</v>
      </c>
      <c r="E15" s="54">
        <v>200</v>
      </c>
      <c r="F15" s="54"/>
      <c r="G15" s="10"/>
      <c r="H15" s="10"/>
      <c r="I15" s="10"/>
      <c r="J15" s="54"/>
      <c r="K15" s="74" t="s">
        <v>137</v>
      </c>
      <c r="L15" s="73" t="s">
        <v>136</v>
      </c>
    </row>
    <row r="16" spans="1:12" s="12" customFormat="1" ht="24.95" customHeight="1">
      <c r="A16" s="13">
        <f t="shared" si="0"/>
        <v>8</v>
      </c>
      <c r="B16" s="70" t="s">
        <v>128</v>
      </c>
      <c r="C16" s="9" t="s">
        <v>127</v>
      </c>
      <c r="D16" s="54" t="s">
        <v>72</v>
      </c>
      <c r="E16" s="54">
        <v>100</v>
      </c>
      <c r="F16" s="54"/>
      <c r="G16" s="10"/>
      <c r="H16" s="10"/>
      <c r="I16" s="10"/>
      <c r="J16" s="54"/>
      <c r="K16" s="65" t="s">
        <v>138</v>
      </c>
      <c r="L16" s="11"/>
    </row>
    <row r="17" spans="1:12" s="12" customFormat="1" ht="24.95" customHeight="1">
      <c r="A17" s="13">
        <f t="shared" si="0"/>
        <v>9</v>
      </c>
      <c r="B17" s="70" t="s">
        <v>129</v>
      </c>
      <c r="C17" s="9" t="s">
        <v>132</v>
      </c>
      <c r="D17" s="54" t="s">
        <v>72</v>
      </c>
      <c r="E17" s="54">
        <v>100</v>
      </c>
      <c r="F17" s="54"/>
      <c r="G17" s="10"/>
      <c r="H17" s="10"/>
      <c r="I17" s="10"/>
      <c r="J17" s="54"/>
      <c r="K17" s="65" t="s">
        <v>139</v>
      </c>
      <c r="L17" s="11"/>
    </row>
    <row r="18" spans="1:12" s="12" customFormat="1" ht="24.95" customHeight="1">
      <c r="A18" s="13">
        <f t="shared" si="0"/>
        <v>10</v>
      </c>
      <c r="B18" s="70" t="s">
        <v>130</v>
      </c>
      <c r="C18" s="9" t="s">
        <v>133</v>
      </c>
      <c r="D18" s="54" t="s">
        <v>72</v>
      </c>
      <c r="E18" s="54">
        <v>100</v>
      </c>
      <c r="F18" s="54"/>
      <c r="G18" s="10"/>
      <c r="H18" s="10"/>
      <c r="I18" s="10"/>
      <c r="J18" s="54"/>
      <c r="K18" s="65" t="s">
        <v>140</v>
      </c>
      <c r="L18" s="11"/>
    </row>
    <row r="19" spans="1:12" s="12" customFormat="1" ht="24.95" customHeight="1">
      <c r="A19" s="13">
        <f t="shared" si="0"/>
        <v>11</v>
      </c>
      <c r="B19" s="70" t="s">
        <v>131</v>
      </c>
      <c r="C19" s="9" t="s">
        <v>134</v>
      </c>
      <c r="D19" s="54" t="s">
        <v>72</v>
      </c>
      <c r="E19" s="54">
        <v>100</v>
      </c>
      <c r="F19" s="54"/>
      <c r="G19" s="10"/>
      <c r="H19" s="10"/>
      <c r="I19" s="10"/>
      <c r="J19" s="54"/>
      <c r="K19" s="65" t="s">
        <v>141</v>
      </c>
      <c r="L19" s="11"/>
    </row>
    <row r="20" spans="1:12" s="12" customFormat="1" ht="24.95" customHeight="1">
      <c r="A20" s="13">
        <f t="shared" si="0"/>
        <v>12</v>
      </c>
      <c r="B20" s="70" t="s">
        <v>142</v>
      </c>
      <c r="C20" s="9" t="s">
        <v>143</v>
      </c>
      <c r="D20" s="54" t="s">
        <v>73</v>
      </c>
      <c r="E20" s="54">
        <v>1</v>
      </c>
      <c r="F20" s="54"/>
      <c r="G20" s="10"/>
      <c r="H20" s="10"/>
      <c r="I20" s="10"/>
      <c r="J20" s="54"/>
      <c r="K20" s="65">
        <v>4</v>
      </c>
      <c r="L20" s="11"/>
    </row>
    <row r="21" spans="1:12" s="12" customFormat="1" ht="24.95" customHeight="1">
      <c r="A21" s="13">
        <f t="shared" si="0"/>
        <v>13</v>
      </c>
      <c r="B21" s="54" t="s">
        <v>101</v>
      </c>
      <c r="C21" s="9" t="s">
        <v>90</v>
      </c>
      <c r="D21" s="54" t="s">
        <v>72</v>
      </c>
      <c r="E21" s="54">
        <v>200</v>
      </c>
      <c r="F21" s="54"/>
      <c r="G21" s="10"/>
      <c r="H21" s="10"/>
      <c r="I21" s="10"/>
      <c r="J21" s="54"/>
      <c r="K21" s="67" t="s">
        <v>94</v>
      </c>
      <c r="L21" s="11"/>
    </row>
    <row r="22" spans="1:12" s="12" customFormat="1" ht="24.95" customHeight="1">
      <c r="A22" s="13">
        <f t="shared" si="0"/>
        <v>14</v>
      </c>
      <c r="B22" s="54" t="s">
        <v>102</v>
      </c>
      <c r="C22" s="9" t="s">
        <v>91</v>
      </c>
      <c r="D22" s="54" t="s">
        <v>72</v>
      </c>
      <c r="E22" s="54">
        <v>200</v>
      </c>
      <c r="F22" s="54"/>
      <c r="G22" s="10"/>
      <c r="H22" s="10"/>
      <c r="I22" s="10"/>
      <c r="J22" s="54"/>
      <c r="K22" s="65"/>
      <c r="L22" s="11"/>
    </row>
    <row r="23" spans="1:12" s="12" customFormat="1" ht="24.95" customHeight="1">
      <c r="A23" s="13">
        <f t="shared" si="0"/>
        <v>15</v>
      </c>
      <c r="B23" s="54" t="s">
        <v>103</v>
      </c>
      <c r="C23" s="9" t="s">
        <v>92</v>
      </c>
      <c r="D23" s="54" t="s">
        <v>96</v>
      </c>
      <c r="E23" s="54">
        <v>3</v>
      </c>
      <c r="F23" s="54"/>
      <c r="G23" s="10"/>
      <c r="H23" s="10"/>
      <c r="I23" s="10"/>
      <c r="J23" s="54"/>
      <c r="K23" s="65"/>
      <c r="L23" s="11"/>
    </row>
    <row r="24" spans="1:12" s="12" customFormat="1" ht="24.95" customHeight="1">
      <c r="A24" s="13">
        <f t="shared" si="0"/>
        <v>16</v>
      </c>
      <c r="B24" s="53" t="s">
        <v>81</v>
      </c>
      <c r="C24" s="53" t="s">
        <v>67</v>
      </c>
      <c r="D24" s="54" t="s">
        <v>144</v>
      </c>
      <c r="E24" s="54"/>
      <c r="F24" s="54"/>
      <c r="G24" s="10"/>
      <c r="H24" s="10"/>
      <c r="I24" s="10"/>
      <c r="J24" s="54"/>
      <c r="K24" s="68">
        <v>43651</v>
      </c>
      <c r="L24" s="11"/>
    </row>
    <row r="25" spans="1:12" s="12" customFormat="1" ht="24.95" customHeight="1">
      <c r="A25" s="13">
        <f t="shared" si="0"/>
        <v>17</v>
      </c>
      <c r="B25" s="53" t="s">
        <v>82</v>
      </c>
      <c r="C25" s="53" t="s">
        <v>68</v>
      </c>
      <c r="D25" s="54" t="s">
        <v>144</v>
      </c>
      <c r="E25" s="54"/>
      <c r="F25" s="54"/>
      <c r="G25" s="10"/>
      <c r="H25" s="10"/>
      <c r="I25" s="10"/>
      <c r="J25" s="54"/>
      <c r="K25" s="68">
        <v>43651</v>
      </c>
      <c r="L25" s="11"/>
    </row>
    <row r="26" spans="1:12" s="12" customFormat="1" ht="24.95" customHeight="1">
      <c r="A26" s="13" t="str">
        <f t="shared" si="0"/>
        <v/>
      </c>
      <c r="B26" s="54"/>
      <c r="C26" s="9"/>
      <c r="D26" s="54"/>
      <c r="E26" s="54"/>
      <c r="F26" s="54"/>
      <c r="G26" s="10"/>
      <c r="H26" s="10"/>
      <c r="I26" s="10"/>
      <c r="J26" s="54"/>
      <c r="K26" s="62"/>
      <c r="L26" s="11"/>
    </row>
    <row r="27" spans="1:12" s="12" customFormat="1" ht="24.95" customHeight="1">
      <c r="A27" s="13" t="str">
        <f t="shared" si="0"/>
        <v/>
      </c>
      <c r="B27" s="54"/>
      <c r="C27" s="9"/>
      <c r="D27" s="54"/>
      <c r="E27" s="54"/>
      <c r="F27" s="54"/>
      <c r="G27" s="10"/>
      <c r="H27" s="10"/>
      <c r="I27" s="54"/>
      <c r="J27" s="54"/>
      <c r="K27" s="62"/>
      <c r="L27" s="11"/>
    </row>
    <row r="28" spans="1:12" s="12" customFormat="1" ht="24.95" customHeight="1">
      <c r="A28" s="13" t="str">
        <f t="shared" si="0"/>
        <v/>
      </c>
      <c r="B28" s="54"/>
      <c r="C28" s="9"/>
      <c r="D28" s="54"/>
      <c r="E28" s="54"/>
      <c r="F28" s="54"/>
      <c r="G28" s="10"/>
      <c r="H28" s="10"/>
      <c r="I28" s="54"/>
      <c r="J28" s="54"/>
      <c r="K28" s="62"/>
      <c r="L28" s="11"/>
    </row>
    <row r="29" spans="1:12" s="12" customFormat="1" ht="24.95" customHeight="1">
      <c r="A29" s="13" t="str">
        <f t="shared" si="0"/>
        <v/>
      </c>
      <c r="B29" s="54"/>
      <c r="C29" s="9"/>
      <c r="D29" s="54"/>
      <c r="E29" s="54"/>
      <c r="F29" s="54"/>
      <c r="G29" s="10"/>
      <c r="H29" s="10"/>
      <c r="I29" s="54"/>
      <c r="J29" s="54"/>
      <c r="K29" s="62"/>
      <c r="L29" s="11"/>
    </row>
    <row r="30" spans="1:12" s="12" customFormat="1" ht="24.95" customHeight="1">
      <c r="A30" s="13" t="str">
        <f t="shared" si="0"/>
        <v/>
      </c>
      <c r="B30" s="54"/>
      <c r="C30" s="9"/>
      <c r="D30" s="54"/>
      <c r="E30" s="54"/>
      <c r="F30" s="54"/>
      <c r="G30" s="10"/>
      <c r="H30" s="10"/>
      <c r="I30" s="54"/>
      <c r="J30" s="54"/>
      <c r="K30" s="62"/>
      <c r="L30" s="11"/>
    </row>
    <row r="31" spans="1:12" ht="24.95" customHeight="1">
      <c r="A31" s="41" t="str">
        <f t="shared" si="0"/>
        <v/>
      </c>
      <c r="B31" s="42"/>
      <c r="C31" s="43"/>
      <c r="D31" s="42"/>
      <c r="E31" s="42"/>
      <c r="F31" s="42"/>
      <c r="G31" s="44"/>
      <c r="H31" s="44"/>
      <c r="I31" s="42"/>
      <c r="J31" s="42"/>
      <c r="K31" s="40"/>
      <c r="L31" s="40"/>
    </row>
    <row r="32" spans="1:12" ht="24.95" customHeight="1">
      <c r="A32" s="41" t="str">
        <f t="shared" si="0"/>
        <v/>
      </c>
      <c r="B32" s="42"/>
      <c r="C32" s="43"/>
      <c r="D32" s="42"/>
      <c r="E32" s="42"/>
      <c r="F32" s="42"/>
      <c r="G32" s="44"/>
      <c r="H32" s="44"/>
      <c r="I32" s="42"/>
      <c r="J32" s="42"/>
      <c r="K32" s="40"/>
      <c r="L32" s="40"/>
    </row>
    <row r="33" spans="1:12" ht="24.95" customHeight="1">
      <c r="A33" s="41" t="str">
        <f t="shared" si="0"/>
        <v/>
      </c>
      <c r="B33" s="42"/>
      <c r="C33" s="43"/>
      <c r="D33" s="42"/>
      <c r="E33" s="42"/>
      <c r="F33" s="42"/>
      <c r="G33" s="44"/>
      <c r="H33" s="44"/>
      <c r="I33" s="42"/>
      <c r="J33" s="42"/>
      <c r="K33" s="40"/>
      <c r="L33" s="40"/>
    </row>
    <row r="34" spans="1:12" ht="24.95" customHeight="1">
      <c r="A34" s="41" t="str">
        <f t="shared" si="0"/>
        <v/>
      </c>
      <c r="B34" s="45"/>
      <c r="C34" s="43"/>
      <c r="D34" s="45"/>
      <c r="E34" s="45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0"/>
        <v/>
      </c>
      <c r="B35" s="45"/>
      <c r="C35" s="43"/>
      <c r="D35" s="45"/>
      <c r="E35" s="45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0"/>
        <v/>
      </c>
      <c r="B36" s="45"/>
      <c r="C36" s="43"/>
      <c r="D36" s="45"/>
      <c r="E36" s="45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0"/>
        <v/>
      </c>
      <c r="B37" s="45"/>
      <c r="C37" s="43"/>
      <c r="D37" s="45"/>
      <c r="E37" s="45"/>
      <c r="F37" s="42"/>
      <c r="G37" s="44"/>
      <c r="H37" s="44"/>
      <c r="I37" s="42"/>
      <c r="J37" s="46"/>
      <c r="K37" s="40"/>
      <c r="L37" s="40"/>
    </row>
    <row r="38" spans="1:12" ht="24.95" customHeight="1">
      <c r="A38" s="41" t="str">
        <f t="shared" si="0"/>
        <v/>
      </c>
      <c r="B38" s="42"/>
      <c r="C38" s="43"/>
      <c r="D38" s="42"/>
      <c r="E38" s="42"/>
      <c r="F38" s="42"/>
      <c r="G38" s="44"/>
      <c r="H38" s="44"/>
      <c r="I38" s="42"/>
      <c r="J38" s="46"/>
      <c r="K38" s="40"/>
      <c r="L38" s="40"/>
    </row>
    <row r="39" spans="1:12" ht="24.95" customHeight="1">
      <c r="A39" s="41" t="str">
        <f t="shared" si="0"/>
        <v/>
      </c>
      <c r="B39" s="42"/>
      <c r="C39" s="43"/>
      <c r="D39" s="42"/>
      <c r="E39" s="42"/>
      <c r="F39" s="42"/>
      <c r="G39" s="44"/>
      <c r="H39" s="44"/>
      <c r="I39" s="42"/>
      <c r="J39" s="46"/>
      <c r="K39" s="40"/>
      <c r="L39" s="40"/>
    </row>
    <row r="40" spans="1:12" ht="24.95" customHeight="1">
      <c r="A40" s="41" t="str">
        <f t="shared" si="0"/>
        <v/>
      </c>
      <c r="B40" s="42"/>
      <c r="C40" s="43"/>
      <c r="D40" s="42"/>
      <c r="E40" s="42"/>
      <c r="F40" s="42"/>
      <c r="G40" s="44"/>
      <c r="H40" s="44"/>
      <c r="I40" s="42"/>
      <c r="J40" s="46"/>
      <c r="K40" s="40"/>
      <c r="L40" s="40"/>
    </row>
    <row r="41" spans="1:12" ht="24.95" customHeight="1">
      <c r="A41" s="41" t="str">
        <f t="shared" si="0"/>
        <v/>
      </c>
      <c r="B41" s="42"/>
      <c r="C41" s="43"/>
      <c r="D41" s="42"/>
      <c r="E41" s="42"/>
      <c r="F41" s="42"/>
      <c r="G41" s="44"/>
      <c r="H41" s="44"/>
      <c r="I41" s="42"/>
      <c r="J41" s="46"/>
      <c r="K41" s="40"/>
      <c r="L41" s="40"/>
    </row>
    <row r="42" spans="1:12" ht="24.95" customHeight="1">
      <c r="A42" s="41" t="str">
        <f t="shared" si="0"/>
        <v/>
      </c>
      <c r="B42" s="42"/>
      <c r="C42" s="43"/>
      <c r="D42" s="42"/>
      <c r="E42" s="42"/>
      <c r="F42" s="42"/>
      <c r="G42" s="44"/>
      <c r="H42" s="44"/>
      <c r="I42" s="42"/>
      <c r="J42" s="46"/>
      <c r="K42" s="40"/>
      <c r="L42" s="40"/>
    </row>
    <row r="43" spans="1:12" ht="24.95" customHeight="1">
      <c r="A43" s="41" t="str">
        <f t="shared" si="0"/>
        <v/>
      </c>
      <c r="B43" s="42"/>
      <c r="C43" s="43"/>
      <c r="D43" s="42"/>
      <c r="E43" s="42"/>
      <c r="F43" s="42"/>
      <c r="G43" s="44"/>
      <c r="H43" s="44"/>
      <c r="I43" s="42"/>
      <c r="J43" s="46"/>
      <c r="K43" s="40"/>
      <c r="L43" s="40"/>
    </row>
  </sheetData>
  <phoneticPr fontId="5"/>
  <hyperlinks>
    <hyperlink ref="J1" location="目次!A1" display="テーブル一覧へ" xr:uid="{7B7158E2-E376-4DD1-B074-8D1C832A1912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0D271-98D3-4DAA-993B-62E27DE187D8}">
  <sheetPr codeName="Sheet17"/>
  <dimension ref="A1:L37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N10" sqref="N10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35" t="s">
        <v>104</v>
      </c>
      <c r="C5" s="35" t="s">
        <v>105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73</v>
      </c>
      <c r="E8" s="48">
        <v>11</v>
      </c>
      <c r="F8" s="48"/>
      <c r="G8" s="50" t="s">
        <v>19</v>
      </c>
      <c r="H8" s="50" t="s">
        <v>20</v>
      </c>
      <c r="I8" s="48"/>
      <c r="J8" s="51"/>
      <c r="K8" s="52"/>
      <c r="L8" s="40"/>
    </row>
    <row r="9" spans="1:12" s="12" customFormat="1" ht="24.95" customHeight="1">
      <c r="A9" s="13">
        <f>IF(B9="","",ROW()-8)</f>
        <v>1</v>
      </c>
      <c r="B9" s="69" t="s">
        <v>106</v>
      </c>
      <c r="C9" s="9" t="s">
        <v>107</v>
      </c>
      <c r="D9" s="54" t="s">
        <v>73</v>
      </c>
      <c r="E9" s="54">
        <v>3</v>
      </c>
      <c r="F9" s="54"/>
      <c r="G9" s="10" t="s">
        <v>19</v>
      </c>
      <c r="H9" s="10" t="s">
        <v>95</v>
      </c>
      <c r="I9" s="10"/>
      <c r="J9" s="54"/>
      <c r="K9" s="71" t="s">
        <v>113</v>
      </c>
      <c r="L9" s="11"/>
    </row>
    <row r="10" spans="1:12" s="12" customFormat="1" ht="24.95" customHeight="1">
      <c r="A10" s="13">
        <f>IF(B10="","",ROW()-8)</f>
        <v>2</v>
      </c>
      <c r="B10" s="69" t="s">
        <v>108</v>
      </c>
      <c r="C10" s="9" t="s">
        <v>109</v>
      </c>
      <c r="D10" s="54" t="s">
        <v>72</v>
      </c>
      <c r="E10" s="54">
        <v>20</v>
      </c>
      <c r="F10" s="54"/>
      <c r="G10" s="10" t="s">
        <v>19</v>
      </c>
      <c r="H10" s="10"/>
      <c r="I10" s="10"/>
      <c r="J10" s="54"/>
      <c r="K10" s="64" t="s">
        <v>65</v>
      </c>
      <c r="L10" s="11"/>
    </row>
    <row r="11" spans="1:12" s="12" customFormat="1" ht="24.95" customHeight="1">
      <c r="A11" s="13">
        <f t="shared" ref="A11:A37" si="0">IF(B11="","",ROW()-8)</f>
        <v>3</v>
      </c>
      <c r="B11" s="69" t="s">
        <v>110</v>
      </c>
      <c r="C11" s="9" t="s">
        <v>110</v>
      </c>
      <c r="D11" s="54" t="s">
        <v>73</v>
      </c>
      <c r="E11" s="54">
        <v>1</v>
      </c>
      <c r="F11" s="54"/>
      <c r="G11" s="10" t="s">
        <v>19</v>
      </c>
      <c r="H11" s="10" t="s">
        <v>95</v>
      </c>
      <c r="I11" s="10"/>
      <c r="J11" s="54"/>
      <c r="K11" s="63">
        <v>1</v>
      </c>
      <c r="L11" s="11"/>
    </row>
    <row r="12" spans="1:12" s="12" customFormat="1" ht="24.95" customHeight="1">
      <c r="A12" s="13">
        <f t="shared" si="0"/>
        <v>4</v>
      </c>
      <c r="B12" s="69" t="s">
        <v>111</v>
      </c>
      <c r="C12" s="9" t="s">
        <v>112</v>
      </c>
      <c r="D12" s="54" t="s">
        <v>72</v>
      </c>
      <c r="E12" s="54">
        <v>20</v>
      </c>
      <c r="F12" s="54"/>
      <c r="G12" s="10" t="s">
        <v>19</v>
      </c>
      <c r="H12" s="10"/>
      <c r="I12" s="10"/>
      <c r="J12" s="54"/>
      <c r="K12" s="72" t="s">
        <v>114</v>
      </c>
      <c r="L12" s="11"/>
    </row>
    <row r="13" spans="1:12" s="12" customFormat="1" ht="24.95" customHeight="1">
      <c r="A13" s="13" t="str">
        <f t="shared" si="0"/>
        <v/>
      </c>
      <c r="B13" s="69"/>
      <c r="C13" s="9"/>
      <c r="D13" s="54"/>
      <c r="E13" s="54"/>
      <c r="F13" s="54"/>
      <c r="G13" s="10"/>
      <c r="H13" s="10"/>
      <c r="I13" s="10"/>
      <c r="J13" s="54"/>
      <c r="K13" s="62"/>
      <c r="L13" s="11"/>
    </row>
    <row r="14" spans="1:12" s="12" customFormat="1" ht="24.95" customHeight="1">
      <c r="A14" s="13" t="str">
        <f t="shared" si="0"/>
        <v/>
      </c>
      <c r="B14" s="70"/>
      <c r="C14" s="9"/>
      <c r="D14" s="54"/>
      <c r="E14" s="54"/>
      <c r="F14" s="54"/>
      <c r="G14" s="10"/>
      <c r="H14" s="10"/>
      <c r="I14" s="10"/>
      <c r="J14" s="54"/>
      <c r="K14" s="62"/>
      <c r="L14" s="11"/>
    </row>
    <row r="15" spans="1:12" s="12" customFormat="1" ht="24.95" customHeight="1">
      <c r="A15" s="13" t="str">
        <f t="shared" si="0"/>
        <v/>
      </c>
      <c r="B15" s="54"/>
      <c r="C15" s="9"/>
      <c r="D15" s="54"/>
      <c r="E15" s="54"/>
      <c r="F15" s="54"/>
      <c r="G15" s="10"/>
      <c r="H15" s="10"/>
      <c r="I15" s="10"/>
      <c r="J15" s="54"/>
      <c r="K15" s="62"/>
      <c r="L15" s="11"/>
    </row>
    <row r="16" spans="1:12" s="12" customFormat="1" ht="24.95" customHeight="1">
      <c r="A16" s="13" t="str">
        <f t="shared" si="0"/>
        <v/>
      </c>
      <c r="B16" s="54"/>
      <c r="C16" s="9"/>
      <c r="D16" s="54"/>
      <c r="E16" s="54"/>
      <c r="F16" s="54"/>
      <c r="G16" s="10"/>
      <c r="H16" s="10"/>
      <c r="I16" s="10"/>
      <c r="J16" s="54"/>
      <c r="K16" s="62"/>
      <c r="L16" s="11"/>
    </row>
    <row r="17" spans="1:12" s="12" customFormat="1" ht="24.95" customHeight="1">
      <c r="A17" s="13" t="str">
        <f t="shared" si="0"/>
        <v/>
      </c>
      <c r="B17" s="54"/>
      <c r="C17" s="9"/>
      <c r="D17" s="54"/>
      <c r="E17" s="54"/>
      <c r="F17" s="54"/>
      <c r="G17" s="10"/>
      <c r="H17" s="10"/>
      <c r="I17" s="10"/>
      <c r="J17" s="54"/>
      <c r="K17" s="62"/>
      <c r="L17" s="11"/>
    </row>
    <row r="18" spans="1:12" s="12" customFormat="1" ht="24.95" customHeight="1">
      <c r="A18" s="13" t="str">
        <f t="shared" si="0"/>
        <v/>
      </c>
      <c r="B18" s="53"/>
      <c r="C18" s="53"/>
      <c r="D18" s="54"/>
      <c r="E18" s="54"/>
      <c r="F18" s="54"/>
      <c r="G18" s="10"/>
      <c r="H18" s="10"/>
      <c r="I18" s="10"/>
      <c r="J18" s="54"/>
      <c r="K18" s="62"/>
      <c r="L18" s="11"/>
    </row>
    <row r="19" spans="1:12" s="12" customFormat="1" ht="24.95" customHeight="1">
      <c r="A19" s="13" t="str">
        <f t="shared" si="0"/>
        <v/>
      </c>
      <c r="B19" s="53"/>
      <c r="C19" s="53"/>
      <c r="D19" s="54"/>
      <c r="E19" s="54"/>
      <c r="F19" s="54"/>
      <c r="G19" s="10"/>
      <c r="H19" s="10"/>
      <c r="I19" s="10"/>
      <c r="J19" s="54"/>
      <c r="K19" s="62"/>
      <c r="L19" s="11"/>
    </row>
    <row r="20" spans="1:12" s="12" customFormat="1" ht="24.95" customHeight="1">
      <c r="A20" s="13" t="str">
        <f t="shared" si="0"/>
        <v/>
      </c>
      <c r="B20" s="54"/>
      <c r="C20" s="9"/>
      <c r="D20" s="54"/>
      <c r="E20" s="54"/>
      <c r="F20" s="54"/>
      <c r="G20" s="10"/>
      <c r="H20" s="10"/>
      <c r="I20" s="10"/>
      <c r="J20" s="54"/>
      <c r="K20" s="62"/>
      <c r="L20" s="11"/>
    </row>
    <row r="21" spans="1:12" s="12" customFormat="1" ht="24.95" customHeight="1">
      <c r="A21" s="13" t="str">
        <f t="shared" si="0"/>
        <v/>
      </c>
      <c r="B21" s="54"/>
      <c r="C21" s="9"/>
      <c r="D21" s="54"/>
      <c r="E21" s="54"/>
      <c r="F21" s="54"/>
      <c r="G21" s="10"/>
      <c r="H21" s="10"/>
      <c r="I21" s="54"/>
      <c r="J21" s="54"/>
      <c r="K21" s="62"/>
      <c r="L21" s="11"/>
    </row>
    <row r="22" spans="1:12" s="12" customFormat="1" ht="24.95" customHeight="1">
      <c r="A22" s="13" t="str">
        <f t="shared" si="0"/>
        <v/>
      </c>
      <c r="B22" s="54"/>
      <c r="C22" s="9"/>
      <c r="D22" s="54"/>
      <c r="E22" s="54"/>
      <c r="F22" s="54"/>
      <c r="G22" s="10"/>
      <c r="H22" s="10"/>
      <c r="I22" s="54"/>
      <c r="J22" s="54"/>
      <c r="K22" s="62"/>
      <c r="L22" s="11"/>
    </row>
    <row r="23" spans="1:12" s="12" customFormat="1" ht="24.95" customHeight="1">
      <c r="A23" s="13" t="str">
        <f t="shared" si="0"/>
        <v/>
      </c>
      <c r="B23" s="54"/>
      <c r="C23" s="9"/>
      <c r="D23" s="54"/>
      <c r="E23" s="54"/>
      <c r="F23" s="54"/>
      <c r="G23" s="10"/>
      <c r="H23" s="10"/>
      <c r="I23" s="54"/>
      <c r="J23" s="54"/>
      <c r="K23" s="62"/>
      <c r="L23" s="11"/>
    </row>
    <row r="24" spans="1:12" s="12" customFormat="1" ht="24.95" customHeight="1">
      <c r="A24" s="13" t="str">
        <f t="shared" si="0"/>
        <v/>
      </c>
      <c r="B24" s="54"/>
      <c r="C24" s="9"/>
      <c r="D24" s="54"/>
      <c r="E24" s="54"/>
      <c r="F24" s="54"/>
      <c r="G24" s="10"/>
      <c r="H24" s="10"/>
      <c r="I24" s="54"/>
      <c r="J24" s="54"/>
      <c r="K24" s="62"/>
      <c r="L24" s="11"/>
    </row>
    <row r="25" spans="1:12" ht="24.95" customHeight="1">
      <c r="A25" s="41" t="str">
        <f t="shared" si="0"/>
        <v/>
      </c>
      <c r="B25" s="42"/>
      <c r="C25" s="43"/>
      <c r="D25" s="42"/>
      <c r="E25" s="42"/>
      <c r="F25" s="42"/>
      <c r="G25" s="44"/>
      <c r="H25" s="44"/>
      <c r="I25" s="42"/>
      <c r="J25" s="42"/>
      <c r="K25" s="40"/>
      <c r="L25" s="40"/>
    </row>
    <row r="26" spans="1:12" ht="24.95" customHeight="1">
      <c r="A26" s="41" t="str">
        <f t="shared" si="0"/>
        <v/>
      </c>
      <c r="B26" s="42"/>
      <c r="C26" s="43"/>
      <c r="D26" s="42"/>
      <c r="E26" s="42"/>
      <c r="F26" s="42"/>
      <c r="G26" s="44"/>
      <c r="H26" s="44"/>
      <c r="I26" s="42"/>
      <c r="J26" s="42"/>
      <c r="K26" s="40"/>
      <c r="L26" s="40"/>
    </row>
    <row r="27" spans="1:12" ht="24.95" customHeight="1">
      <c r="A27" s="41" t="str">
        <f t="shared" si="0"/>
        <v/>
      </c>
      <c r="B27" s="42"/>
      <c r="C27" s="43"/>
      <c r="D27" s="42"/>
      <c r="E27" s="42"/>
      <c r="F27" s="42"/>
      <c r="G27" s="44"/>
      <c r="H27" s="44"/>
      <c r="I27" s="42"/>
      <c r="J27" s="42"/>
      <c r="K27" s="40"/>
      <c r="L27" s="40"/>
    </row>
    <row r="28" spans="1:12" ht="24.95" customHeight="1">
      <c r="A28" s="41" t="str">
        <f t="shared" si="0"/>
        <v/>
      </c>
      <c r="B28" s="45"/>
      <c r="C28" s="43"/>
      <c r="D28" s="45"/>
      <c r="E28" s="45"/>
      <c r="F28" s="42"/>
      <c r="G28" s="44"/>
      <c r="H28" s="44"/>
      <c r="I28" s="42"/>
      <c r="J28" s="46"/>
      <c r="K28" s="40"/>
      <c r="L28" s="40"/>
    </row>
    <row r="29" spans="1:12" ht="24.95" customHeight="1">
      <c r="A29" s="41" t="str">
        <f t="shared" si="0"/>
        <v/>
      </c>
      <c r="B29" s="45"/>
      <c r="C29" s="43"/>
      <c r="D29" s="45"/>
      <c r="E29" s="45"/>
      <c r="F29" s="42"/>
      <c r="G29" s="44"/>
      <c r="H29" s="44"/>
      <c r="I29" s="42"/>
      <c r="J29" s="46"/>
      <c r="K29" s="40"/>
      <c r="L29" s="40"/>
    </row>
    <row r="30" spans="1:12" ht="24.95" customHeight="1">
      <c r="A30" s="41" t="str">
        <f t="shared" si="0"/>
        <v/>
      </c>
      <c r="B30" s="45"/>
      <c r="C30" s="43"/>
      <c r="D30" s="45"/>
      <c r="E30" s="45"/>
      <c r="F30" s="42"/>
      <c r="G30" s="44"/>
      <c r="H30" s="44"/>
      <c r="I30" s="42"/>
      <c r="J30" s="46"/>
      <c r="K30" s="40"/>
      <c r="L30" s="40"/>
    </row>
    <row r="31" spans="1:12" ht="24.95" customHeight="1">
      <c r="A31" s="41" t="str">
        <f t="shared" si="0"/>
        <v/>
      </c>
      <c r="B31" s="45"/>
      <c r="C31" s="43"/>
      <c r="D31" s="45"/>
      <c r="E31" s="45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0"/>
        <v/>
      </c>
      <c r="B32" s="42"/>
      <c r="C32" s="43"/>
      <c r="D32" s="42"/>
      <c r="E32" s="42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0"/>
        <v/>
      </c>
      <c r="B33" s="42"/>
      <c r="C33" s="43"/>
      <c r="D33" s="42"/>
      <c r="E33" s="42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0"/>
        <v/>
      </c>
      <c r="B34" s="42"/>
      <c r="C34" s="43"/>
      <c r="D34" s="42"/>
      <c r="E34" s="42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0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0"/>
        <v/>
      </c>
      <c r="B36" s="42"/>
      <c r="C36" s="43"/>
      <c r="D36" s="42"/>
      <c r="E36" s="42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0"/>
        <v/>
      </c>
      <c r="B37" s="42"/>
      <c r="C37" s="43"/>
      <c r="D37" s="42"/>
      <c r="E37" s="42"/>
      <c r="F37" s="42"/>
      <c r="G37" s="44"/>
      <c r="H37" s="44"/>
      <c r="I37" s="42"/>
      <c r="J37" s="46"/>
      <c r="K37" s="40"/>
      <c r="L37" s="40"/>
    </row>
  </sheetData>
  <phoneticPr fontId="5"/>
  <hyperlinks>
    <hyperlink ref="J1" location="目次!A1" display="テーブル一覧へ" xr:uid="{7B990211-B98F-44A3-8D73-14FB6E64ED50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SQL定数情報</vt:lpstr>
      <vt:lpstr>TOOL</vt:lpstr>
      <vt:lpstr>T_ユーザ情報</vt:lpstr>
      <vt:lpstr>T_問題情報</vt:lpstr>
      <vt:lpstr>T_区分ID情報</vt:lpstr>
      <vt:lpstr>T_ユーザ情報!Print_Area</vt:lpstr>
      <vt:lpstr>T_区分ID情報!Print_Area</vt:lpstr>
      <vt:lpstr>T_問題情報!Print_Area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Zhang, Yong</cp:lastModifiedBy>
  <cp:lastPrinted>2019-07-23T05:29:21Z</cp:lastPrinted>
  <dcterms:created xsi:type="dcterms:W3CDTF">2015-06-05T18:19:34Z</dcterms:created>
  <dcterms:modified xsi:type="dcterms:W3CDTF">2020-03-09T05:03:03Z</dcterms:modified>
</cp:coreProperties>
</file>